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Satisfaction" sheetId="1" state="visible" r:id="rId3"/>
  </sheets>
  <definedNames>
    <definedName function="false" hidden="true" localSheetId="0" name="_xlnm._FilterDatabase" vbProcedure="false">'Customer Satisfaction'!$A$94:$V$144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<sst xmlns="http://schemas.openxmlformats.org/spreadsheetml/2006/main" count="725" uniqueCount="154">
  <si>
    <t xml:space="preserve">Customer Satisfaction Report for E-commerce Business – Survey Analysis</t>
  </si>
  <si>
    <t xml:space="preserve">Khushi Naskar (26BCA10196) &amp; Pranjali Choudhary (26BCA10187) | Section 26BCA4A | Office Automation Lab</t>
  </si>
  <si>
    <t xml:space="preserve">Sample/illustrative data. Rating scale: 1 = Very poor … 5 = Excellent. Satisfied = overall 4–5, Neutral = 3, Dissatisfied = 1–2. To use real data, replace the survey rows in Section F (row 95 onward); all results and charts update automatically.</t>
  </si>
  <si>
    <t xml:space="preserve">Total Respondents</t>
  </si>
  <si>
    <t xml:space="preserve">Avg Overall Rating</t>
  </si>
  <si>
    <t xml:space="preserve">CSAT % (rated 4-5)</t>
  </si>
  <si>
    <t xml:space="preserve">Strongest Area</t>
  </si>
  <si>
    <t xml:space="preserve">Weakest Area</t>
  </si>
  <si>
    <t xml:space="preserve">Top Complaint</t>
  </si>
  <si>
    <t xml:space="preserve">A. Rating by Parameter</t>
  </si>
  <si>
    <t xml:space="preserve">Parameter</t>
  </si>
  <si>
    <t xml:space="preserve">Average Rating</t>
  </si>
  <si>
    <t xml:space="preserve">Min</t>
  </si>
  <si>
    <t xml:space="preserve">Max</t>
  </si>
  <si>
    <t xml:space="preserve">% Satisfied (4-5)</t>
  </si>
  <si>
    <t xml:space="preserve">% Dissatisfied (1-2)</t>
  </si>
  <si>
    <t xml:space="preserve">Rank (1 = best)</t>
  </si>
  <si>
    <t xml:space="preserve">Remark</t>
  </si>
  <si>
    <t xml:space="preserve">Product Quality</t>
  </si>
  <si>
    <t xml:space="preserve">Website Ease of Use</t>
  </si>
  <si>
    <t xml:space="preserve">Pricing &amp; Offers</t>
  </si>
  <si>
    <t xml:space="preserve">Packaging</t>
  </si>
  <si>
    <t xml:space="preserve">Delivery Speed</t>
  </si>
  <si>
    <t xml:space="preserve">Customer Support</t>
  </si>
  <si>
    <t xml:space="preserve">Returns &amp; Refunds</t>
  </si>
  <si>
    <t xml:space="preserve">Average of all parameters</t>
  </si>
  <si>
    <t xml:space="preserve">B. Overall Satisfaction</t>
  </si>
  <si>
    <t xml:space="preserve">Satisfaction Level</t>
  </si>
  <si>
    <t xml:space="preserve">Customers</t>
  </si>
  <si>
    <t xml:space="preserve">Percentage</t>
  </si>
  <si>
    <t xml:space="preserve">Satisfied (4-5)</t>
  </si>
  <si>
    <t xml:space="preserve">Neutral (3)</t>
  </si>
  <si>
    <t xml:space="preserve">Dissatisfied (1-2)</t>
  </si>
  <si>
    <t xml:space="preserve">Total respondents</t>
  </si>
  <si>
    <t xml:space="preserve">Average overall rating (out of 5)</t>
  </si>
  <si>
    <t xml:space="preserve">Customer Satisfaction Score (CSAT %)</t>
  </si>
  <si>
    <t xml:space="preserve">C. Would Recommend the Store?</t>
  </si>
  <si>
    <t xml:space="preserve">Response</t>
  </si>
  <si>
    <t xml:space="preserve">Yes</t>
  </si>
  <si>
    <t xml:space="preserve">Maybe</t>
  </si>
  <si>
    <t xml:space="preserve">No</t>
  </si>
  <si>
    <t xml:space="preserve">D. Pain Points (customers mentioning each problem)</t>
  </si>
  <si>
    <t xml:space="preserve">Complaint</t>
  </si>
  <si>
    <t xml:space="preserve">Mentions</t>
  </si>
  <si>
    <t xml:space="preserve">% of Respondents</t>
  </si>
  <si>
    <t xml:space="preserve">Rank</t>
  </si>
  <si>
    <t xml:space="preserve">Late Delivery</t>
  </si>
  <si>
    <t xml:space="preserve">Slow Support</t>
  </si>
  <si>
    <t xml:space="preserve">Damaged Packaging</t>
  </si>
  <si>
    <t xml:space="preserve">Difficult Returns</t>
  </si>
  <si>
    <t xml:space="preserve">Hidden Charges</t>
  </si>
  <si>
    <t xml:space="preserve">Wrong/Missing Item</t>
  </si>
  <si>
    <t xml:space="preserve">E. Respondent Profile</t>
  </si>
  <si>
    <t xml:space="preserve">Age Group</t>
  </si>
  <si>
    <t xml:space="preserve">Respondents</t>
  </si>
  <si>
    <t xml:space="preserve">Below 18</t>
  </si>
  <si>
    <t xml:space="preserve">18 to 25</t>
  </si>
  <si>
    <t xml:space="preserve">26 to 35</t>
  </si>
  <si>
    <t xml:space="preserve">Above 35</t>
  </si>
  <si>
    <t xml:space="preserve">Shopping Frequency</t>
  </si>
  <si>
    <t xml:space="preserve">Weekly</t>
  </si>
  <si>
    <t xml:space="preserve">Monthly</t>
  </si>
  <si>
    <t xml:space="preserve">Occasionally</t>
  </si>
  <si>
    <t xml:space="preserve">Rarely</t>
  </si>
  <si>
    <t xml:space="preserve">Typical Order Value</t>
  </si>
  <si>
    <t xml:space="preserve">Under Rs 500</t>
  </si>
  <si>
    <t xml:space="preserve">Rs 500 to 1000</t>
  </si>
  <si>
    <t xml:space="preserve">Rs 1001 to 3000</t>
  </si>
  <si>
    <t xml:space="preserve">Above Rs 3000</t>
  </si>
  <si>
    <t xml:space="preserve">Gender</t>
  </si>
  <si>
    <t xml:space="preserve">Male</t>
  </si>
  <si>
    <t xml:space="preserve">Female</t>
  </si>
  <si>
    <t xml:space="preserve">F. Flipkart Reference Data (National Consumer Helpline, 1 Jan–19 Jul 2025)</t>
  </si>
  <si>
    <t xml:space="preserve">Nature of Grievance</t>
  </si>
  <si>
    <t xml:space="preserve">Grievances</t>
  </si>
  <si>
    <t xml:space="preserve">% of Top 7</t>
  </si>
  <si>
    <t xml:space="preserve">Defective / damaged product delivered</t>
  </si>
  <si>
    <t xml:space="preserve">Deficiency in service (customer service)</t>
  </si>
  <si>
    <t xml:space="preserve">Replacement / refund not provided</t>
  </si>
  <si>
    <t xml:space="preserve">Non-delivery of product</t>
  </si>
  <si>
    <t xml:space="preserve">Wrong product delivered</t>
  </si>
  <si>
    <t xml:space="preserve">Delay in delivery</t>
  </si>
  <si>
    <t xml:space="preserve">Paid amount not refunded</t>
  </si>
  <si>
    <t xml:space="preserve">Total (top 7 categories)</t>
  </si>
  <si>
    <t xml:space="preserve">Complaints on National Consumer Helpline by platform (latest reported year)</t>
  </si>
  <si>
    <t xml:space="preserve">Platform</t>
  </si>
  <si>
    <t xml:space="preserve">Complaints</t>
  </si>
  <si>
    <t xml:space="preserve">Flipkart</t>
  </si>
  <si>
    <t xml:space="preserve">Amazon</t>
  </si>
  <si>
    <t xml:space="preserve">Meesho</t>
  </si>
  <si>
    <t xml:space="preserve">Myntra</t>
  </si>
  <si>
    <t xml:space="preserve">Netmeds</t>
  </si>
  <si>
    <t xml:space="preserve">Source: consumerhelpline.gov.in (Flipkart grievances); platform totals from a news report citing Lok Sabha figures. Counts depend on order volume and show problem types, not a quality ranking.</t>
  </si>
  <si>
    <t xml:space="preserve">G. Survey Data (50 sample respondents) – columns N and O are formulas</t>
  </si>
  <si>
    <t xml:space="preserve">Resp. ID</t>
  </si>
  <si>
    <t xml:space="preserve">Overall Satisfaction (1-5)</t>
  </si>
  <si>
    <t xml:space="preserve">Average of 7 Ratings</t>
  </si>
  <si>
    <t xml:space="preserve">Would Recommend?</t>
  </si>
  <si>
    <t xml:space="preserve">Complaint: Late Delivery</t>
  </si>
  <si>
    <t xml:space="preserve">Complaint: Slow Support</t>
  </si>
  <si>
    <t xml:space="preserve">Complaint: Damaged Packaging</t>
  </si>
  <si>
    <t xml:space="preserve">Complaint: Difficult Returns</t>
  </si>
  <si>
    <t xml:space="preserve">Complaint: Hidden Charges</t>
  </si>
  <si>
    <t xml:space="preserve">Complaint: Wrong/Missing Item</t>
  </si>
  <si>
    <t xml:space="preserve">R001</t>
  </si>
  <si>
    <t xml:space="preserve">R002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</si>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</sst>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0%"/>
    <numFmt numFmtId="168" formatCode="General"/>
    <numFmt numFmtId="169" formatCode="#,##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E4D6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ED7D31"/>
      <rgbColor rgb="FF666666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Rating by Parameter (out of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Satisfaction'!$A$9:$A$15</c:f>
              <c:strCache>
                <c:ptCount val="7"/>
                <c:pt idx="0">
                  <c:v>Product Quality</c:v>
                </c:pt>
                <c:pt idx="1">
                  <c:v>Website Ease of Use</c:v>
                </c:pt>
                <c:pt idx="2">
                  <c:v>Pricing &amp; Offers</c:v>
                </c:pt>
                <c:pt idx="3">
                  <c:v>Packaging</c:v>
                </c:pt>
                <c:pt idx="4">
                  <c:v>Delivery Speed</c:v>
                </c:pt>
                <c:pt idx="5">
                  <c:v>Customer Support</c:v>
                </c:pt>
                <c:pt idx="6">
                  <c:v>Returns &amp; Refunds</c:v>
                </c:pt>
              </c:strCache>
            </c:strRef>
          </c:cat>
          <c:val>
            <c:numRef>
              <c:f>'Customer Satisfaction'!$D$9:$D$15</c:f>
              <c:numCache>
                <c:formatCode>0.00</c:formatCode>
                <c:ptCount val="7"/>
                <c:pt idx="0">
                  <c:v>4.2</c:v>
                </c:pt>
                <c:pt idx="1">
                  <c:v>4</c:v>
                </c:pt>
                <c:pt idx="2">
                  <c:v>3.6</c:v>
                </c:pt>
                <c:pt idx="3">
                  <c:v>3.4</c:v>
                </c:pt>
                <c:pt idx="4">
                  <c:v>3.1</c:v>
                </c:pt>
                <c:pt idx="5">
                  <c:v>2.9</c:v>
                </c:pt>
                <c:pt idx="6">
                  <c:v>3</c:v>
                </c:pt>
              </c:numCache>
            </c:numRef>
          </c:val>
        </c:ser>
        <c:gapWidth val="150"/>
        <c:overlap val="0"/>
        <c:axId val="90536241"/>
        <c:axId val="85619001"/>
      </c:barChart>
      <c:catAx>
        <c:axId val="90536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19001"/>
        <c:crosses val="autoZero"/>
        <c:auto val="1"/>
        <c:lblAlgn val="ctr"/>
        <c:lblOffset val="100"/>
        <c:noMultiLvlLbl val="0"/>
      </c:catAx>
      <c:valAx>
        <c:axId val="85619001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36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Customer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'Customer Satisfaction'!$A$21:$A$23</c:f>
              <c:strCache>
                <c:ptCount val="3"/>
                <c:pt idx="0">
                  <c:v>Satisfied (4-5)</c:v>
                </c:pt>
                <c:pt idx="1">
                  <c:v>Neutral (3)</c:v>
                </c:pt>
                <c:pt idx="2">
                  <c:v>Dissatisfied (1-2)</c:v>
                </c:pt>
              </c:strCache>
            </c:strRef>
          </c:cat>
          <c:val>
            <c:numRef>
              <c:f>'Customer Satisfaction'!$D$21:$D$23</c:f>
              <c:numCache>
                <c:formatCode>General</c:formatCode>
                <c:ptCount val="3"/>
                <c:pt idx="0">
                  <c:v>34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Most Common Complaints (mentions)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Satisfaction'!$A$38:$A$43</c:f>
              <c:strCache>
                <c:ptCount val="6"/>
                <c:pt idx="0">
                  <c:v>Late Delivery</c:v>
                </c:pt>
                <c:pt idx="1">
                  <c:v>Slow Support</c:v>
                </c:pt>
                <c:pt idx="2">
                  <c:v>Damaged Packaging</c:v>
                </c:pt>
                <c:pt idx="3">
                  <c:v>Difficult Returns</c:v>
                </c:pt>
                <c:pt idx="4">
                  <c:v>Hidden Charges</c:v>
                </c:pt>
                <c:pt idx="5">
                  <c:v>Wrong/Missing Item</c:v>
                </c:pt>
              </c:strCache>
            </c:strRef>
          </c:cat>
          <c:val>
            <c:numRef>
              <c:f>'Customer Satisfaction'!$D$38:$D$43</c:f>
              <c:numCache>
                <c:formatCode>General</c:formatCode>
                <c:ptCount val="6"/>
                <c:pt idx="0">
                  <c:v>34</c:v>
                </c:pt>
                <c:pt idx="1">
                  <c:v>27</c:v>
                </c:pt>
                <c:pt idx="2">
                  <c:v>21</c:v>
                </c:pt>
                <c:pt idx="3">
                  <c:v>18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</c:ser>
        <c:gapWidth val="150"/>
        <c:overlap val="0"/>
        <c:axId val="52658475"/>
        <c:axId val="19733179"/>
      </c:barChart>
      <c:catAx>
        <c:axId val="52658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33179"/>
        <c:crosses val="autoZero"/>
        <c:auto val="1"/>
        <c:lblAlgn val="ctr"/>
        <c:lblOffset val="100"/>
        <c:noMultiLvlLbl val="0"/>
      </c:catAx>
      <c:valAx>
        <c:axId val="19733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584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Respondents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Satisfaction'!$A$48:$A$51</c:f>
              <c:strCache>
                <c:ptCount val="4"/>
                <c:pt idx="0">
                  <c:v>Below 18</c:v>
                </c:pt>
                <c:pt idx="1">
                  <c:v>18 to 25</c:v>
                </c:pt>
                <c:pt idx="2">
                  <c:v>26 to 35</c:v>
                </c:pt>
                <c:pt idx="3">
                  <c:v>Above 35</c:v>
                </c:pt>
              </c:strCache>
            </c:strRef>
          </c:cat>
          <c:val>
            <c:numRef>
              <c:f>'Customer Satisfaction'!$D$48:$D$51</c:f>
              <c:numCache>
                <c:formatCode>General</c:formatCode>
                <c:ptCount val="4"/>
                <c:pt idx="0">
                  <c:v>3</c:v>
                </c:pt>
                <c:pt idx="1">
                  <c:v>32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73471508"/>
        <c:axId val="51411245"/>
      </c:barChart>
      <c:catAx>
        <c:axId val="73471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11245"/>
        <c:crosses val="autoZero"/>
        <c:auto val="1"/>
        <c:lblAlgn val="ctr"/>
        <c:lblOffset val="100"/>
        <c:noMultiLvlLbl val="0"/>
      </c:catAx>
      <c:valAx>
        <c:axId val="51411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715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Flipkart: Top Grievance Types (NCH,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Satisfaction'!$A$72:$A$78</c:f>
              <c:strCache>
                <c:ptCount val="7"/>
                <c:pt idx="0">
                  <c:v>Defective / damaged product delivered</c:v>
                </c:pt>
                <c:pt idx="1">
                  <c:v>Deficiency in service (customer service)</c:v>
                </c:pt>
                <c:pt idx="2">
                  <c:v>Replacement / refund not provided</c:v>
                </c:pt>
                <c:pt idx="3">
                  <c:v>Non-delivery of product</c:v>
                </c:pt>
                <c:pt idx="4">
                  <c:v>Wrong product delivered</c:v>
                </c:pt>
                <c:pt idx="5">
                  <c:v>Delay in delivery</c:v>
                </c:pt>
                <c:pt idx="6">
                  <c:v>Paid amount not refunded</c:v>
                </c:pt>
              </c:strCache>
            </c:strRef>
          </c:cat>
          <c:val>
            <c:numRef>
              <c:f>'Customer Satisfaction'!$D$72:$D$78</c:f>
              <c:numCache>
                <c:formatCode>#,##0</c:formatCode>
                <c:ptCount val="7"/>
                <c:pt idx="0">
                  <c:v>9243</c:v>
                </c:pt>
                <c:pt idx="1">
                  <c:v>6179</c:v>
                </c:pt>
                <c:pt idx="2">
                  <c:v>5481</c:v>
                </c:pt>
                <c:pt idx="3">
                  <c:v>4728</c:v>
                </c:pt>
                <c:pt idx="4">
                  <c:v>4436</c:v>
                </c:pt>
                <c:pt idx="5">
                  <c:v>4099</c:v>
                </c:pt>
                <c:pt idx="6">
                  <c:v>3787</c:v>
                </c:pt>
              </c:numCache>
            </c:numRef>
          </c:val>
        </c:ser>
        <c:gapWidth val="150"/>
        <c:overlap val="0"/>
        <c:axId val="20174746"/>
        <c:axId val="9235674"/>
      </c:barChart>
      <c:catAx>
        <c:axId val="201747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5674"/>
        <c:crosses val="autoZero"/>
        <c:auto val="1"/>
        <c:lblAlgn val="ctr"/>
        <c:lblOffset val="100"/>
        <c:noMultiLvlLbl val="0"/>
      </c:catAx>
      <c:valAx>
        <c:axId val="9235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747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Would Recommend the Store?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'Customer Satisfaction'!$A$31:$A$33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'Customer Satisfaction'!$D$31:$D$33</c:f>
              <c:numCache>
                <c:formatCode>General</c:formatCode>
                <c:ptCount val="3"/>
                <c:pt idx="0">
                  <c:v>29</c:v>
                </c:pt>
                <c:pt idx="1">
                  <c:v>15</c:v>
                </c:pt>
                <c:pt idx="2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130680</xdr:rowOff>
    </xdr:from>
    <xdr:to>
      <xdr:col>17</xdr:col>
      <xdr:colOff>692280</xdr:colOff>
      <xdr:row>20</xdr:row>
      <xdr:rowOff>93960</xdr:rowOff>
    </xdr:to>
    <xdr:graphicFrame>
      <xdr:nvGraphicFramePr>
        <xdr:cNvPr id="0" name="Chart 1"/>
        <xdr:cNvGraphicFramePr/>
      </xdr:nvGraphicFramePr>
      <xdr:xfrm>
        <a:off x="10572840" y="13525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5</xdr:row>
      <xdr:rowOff>130680</xdr:rowOff>
    </xdr:from>
    <xdr:to>
      <xdr:col>27</xdr:col>
      <xdr:colOff>524880</xdr:colOff>
      <xdr:row>20</xdr:row>
      <xdr:rowOff>93960</xdr:rowOff>
    </xdr:to>
    <xdr:graphicFrame>
      <xdr:nvGraphicFramePr>
        <xdr:cNvPr id="1" name="Chart 2"/>
        <xdr:cNvGraphicFramePr/>
      </xdr:nvGraphicFramePr>
      <xdr:xfrm>
        <a:off x="17691840" y="13525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24</xdr:row>
      <xdr:rowOff>130680</xdr:rowOff>
    </xdr:from>
    <xdr:to>
      <xdr:col>17</xdr:col>
      <xdr:colOff>692280</xdr:colOff>
      <xdr:row>38</xdr:row>
      <xdr:rowOff>171720</xdr:rowOff>
    </xdr:to>
    <xdr:graphicFrame>
      <xdr:nvGraphicFramePr>
        <xdr:cNvPr id="2" name="Chart 3"/>
        <xdr:cNvGraphicFramePr/>
      </xdr:nvGraphicFramePr>
      <xdr:xfrm>
        <a:off x="10572840" y="53910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0</xdr:colOff>
      <xdr:row>24</xdr:row>
      <xdr:rowOff>130680</xdr:rowOff>
    </xdr:from>
    <xdr:to>
      <xdr:col>27</xdr:col>
      <xdr:colOff>524880</xdr:colOff>
      <xdr:row>38</xdr:row>
      <xdr:rowOff>171720</xdr:rowOff>
    </xdr:to>
    <xdr:graphicFrame>
      <xdr:nvGraphicFramePr>
        <xdr:cNvPr id="3" name="Chart 4"/>
        <xdr:cNvGraphicFramePr/>
      </xdr:nvGraphicFramePr>
      <xdr:xfrm>
        <a:off x="17691840" y="53910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43</xdr:row>
      <xdr:rowOff>18360</xdr:rowOff>
    </xdr:from>
    <xdr:to>
      <xdr:col>17</xdr:col>
      <xdr:colOff>692280</xdr:colOff>
      <xdr:row>57</xdr:row>
      <xdr:rowOff>172080</xdr:rowOff>
    </xdr:to>
    <xdr:graphicFrame>
      <xdr:nvGraphicFramePr>
        <xdr:cNvPr id="4" name="Chart 5"/>
        <xdr:cNvGraphicFramePr/>
      </xdr:nvGraphicFramePr>
      <xdr:xfrm>
        <a:off x="10572840" y="94298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0</xdr:colOff>
      <xdr:row>43</xdr:row>
      <xdr:rowOff>18360</xdr:rowOff>
    </xdr:from>
    <xdr:to>
      <xdr:col>27</xdr:col>
      <xdr:colOff>524880</xdr:colOff>
      <xdr:row>57</xdr:row>
      <xdr:rowOff>172080</xdr:rowOff>
    </xdr:to>
    <xdr:graphicFrame>
      <xdr:nvGraphicFramePr>
        <xdr:cNvPr id="5" name="Chart 6"/>
        <xdr:cNvGraphicFramePr/>
      </xdr:nvGraphicFramePr>
      <xdr:xfrm>
        <a:off x="17691840" y="94298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9" min="6" style="0" width="13"/>
    <col collapsed="false" customWidth="true" hidden="false" outlineLevel="0" max="10" min="10" style="0" width="18"/>
    <col collapsed="false" customWidth="true" hidden="false" outlineLevel="0" max="13" min="11" style="0" width="13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22" min="16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true" outlineLevel="0" collapsed="false">
      <c r="A4" s="4" t="s">
        <v>3</v>
      </c>
      <c r="B4" s="4"/>
      <c r="C4" s="4"/>
      <c r="D4" s="4" t="s">
        <v>4</v>
      </c>
      <c r="E4" s="4"/>
      <c r="F4" s="4"/>
      <c r="G4" s="4" t="s">
        <v>5</v>
      </c>
      <c r="H4" s="4"/>
      <c r="I4" s="4"/>
      <c r="J4" s="4" t="s">
        <v>6</v>
      </c>
      <c r="K4" s="4"/>
      <c r="L4" s="4"/>
      <c r="M4" s="4" t="s">
        <v>7</v>
      </c>
      <c r="N4" s="4"/>
      <c r="O4" s="4"/>
      <c r="P4" s="4" t="s">
        <v>8</v>
      </c>
      <c r="Q4" s="4"/>
      <c r="R4" s="4"/>
    </row>
    <row r="5" customFormat="false" ht="31.5" hidden="false" customHeight="true" outlineLevel="0" collapsed="false">
      <c r="A5" s="5" t="n">
        <f aca="false">D24</f>
        <v>50</v>
      </c>
      <c r="B5" s="5"/>
      <c r="C5" s="5"/>
      <c r="D5" s="6" t="n">
        <f aca="false">D25</f>
        <v>3.86</v>
      </c>
      <c r="E5" s="6"/>
      <c r="F5" s="6"/>
      <c r="G5" s="7" t="n">
        <f aca="false">D26</f>
        <v>0.68</v>
      </c>
      <c r="H5" s="7"/>
      <c r="I5" s="7"/>
      <c r="J5" s="8" t="str">
        <f aca="false">INDEX(A9:A15,MATCH(MAX(D9:D15),D9:D15,0))</f>
        <v>Product Quality</v>
      </c>
      <c r="K5" s="8"/>
      <c r="L5" s="8"/>
      <c r="M5" s="8" t="str">
        <f aca="false">INDEX(A9:A15,MATCH(MIN(D9:D15),D9:D15,0))</f>
        <v>Customer Support</v>
      </c>
      <c r="N5" s="8"/>
      <c r="O5" s="8"/>
      <c r="P5" s="8" t="str">
        <f aca="false">INDEX(A38:A43,MATCH(MAX(D38:D43),D38:D43,0))</f>
        <v>Late Delivery</v>
      </c>
      <c r="Q5" s="8"/>
      <c r="R5" s="8"/>
    </row>
    <row r="7" customFormat="false" ht="15" hidden="false" customHeight="false" outlineLevel="0" collapsed="false">
      <c r="A7" s="9" t="s">
        <v>9</v>
      </c>
    </row>
    <row r="8" customFormat="false" ht="31.5" hidden="false" customHeight="true" outlineLevel="0" collapsed="false">
      <c r="A8" s="10" t="s">
        <v>10</v>
      </c>
      <c r="B8" s="10"/>
      <c r="C8" s="10"/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0" t="s">
        <v>16</v>
      </c>
      <c r="J8" s="10" t="s">
        <v>17</v>
      </c>
    </row>
    <row r="9" customFormat="false" ht="15" hidden="false" customHeight="true" outlineLevel="0" collapsed="false">
      <c r="A9" s="11" t="s">
        <v>18</v>
      </c>
      <c r="B9" s="11"/>
      <c r="C9" s="11"/>
      <c r="D9" s="12" t="n">
        <f aca="false">AVERAGE($F$95:$F$144)</f>
        <v>4.2</v>
      </c>
      <c r="E9" s="13" t="n">
        <f aca="false">MIN($F$95:$F$144)</f>
        <v>1</v>
      </c>
      <c r="F9" s="13" t="n">
        <f aca="false">MAX($F$95:$F$144)</f>
        <v>5</v>
      </c>
      <c r="G9" s="14" t="n">
        <f aca="false">COUNTIF($F$95:$F$144,"&gt;=4")/COUNT($F$95:$F$144)</f>
        <v>0.76</v>
      </c>
      <c r="H9" s="14" t="n">
        <f aca="false">COUNTIF($F$95:$F$144,"&lt;=2")/COUNT($F$95:$F$144)</f>
        <v>0.1</v>
      </c>
      <c r="I9" s="13" t="n">
        <f aca="false">RANK(D9,$D$9:$D$15,0)</f>
        <v>1</v>
      </c>
      <c r="J9" s="13" t="str">
        <f aca="false">IF(D9&gt;=4,"Strong",IF(D9&gt;=3.5,"Good",IF(D9&gt;=3,"Needs improvement","Weakest area")))</f>
        <v>Strong</v>
      </c>
    </row>
    <row r="10" customFormat="false" ht="15" hidden="false" customHeight="true" outlineLevel="0" collapsed="false">
      <c r="A10" s="11" t="s">
        <v>19</v>
      </c>
      <c r="B10" s="11"/>
      <c r="C10" s="11"/>
      <c r="D10" s="12" t="n">
        <f aca="false">AVERAGE($G$95:$G$144)</f>
        <v>4</v>
      </c>
      <c r="E10" s="13" t="n">
        <f aca="false">MIN($G$95:$G$144)</f>
        <v>1</v>
      </c>
      <c r="F10" s="13" t="n">
        <f aca="false">MAX($G$95:$G$144)</f>
        <v>5</v>
      </c>
      <c r="G10" s="14" t="n">
        <f aca="false">COUNTIF($G$95:$G$144,"&gt;=4")/COUNT($G$95:$G$144)</f>
        <v>0.78</v>
      </c>
      <c r="H10" s="14" t="n">
        <f aca="false">COUNTIF($G$95:$G$144,"&lt;=2")/COUNT($G$95:$G$144)</f>
        <v>0.1</v>
      </c>
      <c r="I10" s="13" t="n">
        <f aca="false">RANK(D10,$D$9:$D$15,0)</f>
        <v>2</v>
      </c>
      <c r="J10" s="13" t="str">
        <f aca="false">IF(D10&gt;=4,"Strong",IF(D10&gt;=3.5,"Good",IF(D10&gt;=3,"Needs improvement","Weakest area")))</f>
        <v>Strong</v>
      </c>
    </row>
    <row r="11" customFormat="false" ht="15" hidden="false" customHeight="true" outlineLevel="0" collapsed="false">
      <c r="A11" s="11" t="s">
        <v>20</v>
      </c>
      <c r="B11" s="11"/>
      <c r="C11" s="11"/>
      <c r="D11" s="12" t="n">
        <f aca="false">AVERAGE($H$95:$H$144)</f>
        <v>3.6</v>
      </c>
      <c r="E11" s="13" t="n">
        <f aca="false">MIN($H$95:$H$144)</f>
        <v>1</v>
      </c>
      <c r="F11" s="13" t="n">
        <f aca="false">MAX($H$95:$H$144)</f>
        <v>5</v>
      </c>
      <c r="G11" s="14" t="n">
        <f aca="false">COUNTIF($H$95:$H$144,"&gt;=4")/COUNT($H$95:$H$144)</f>
        <v>0.58</v>
      </c>
      <c r="H11" s="14" t="n">
        <f aca="false">COUNTIF($H$95:$H$144,"&lt;=2")/COUNT($H$95:$H$144)</f>
        <v>0.12</v>
      </c>
      <c r="I11" s="13" t="n">
        <f aca="false">RANK(D11,$D$9:$D$15,0)</f>
        <v>3</v>
      </c>
      <c r="J11" s="13" t="str">
        <f aca="false">IF(D11&gt;=4,"Strong",IF(D11&gt;=3.5,"Good",IF(D11&gt;=3,"Needs improvement","Weakest area")))</f>
        <v>Good</v>
      </c>
    </row>
    <row r="12" customFormat="false" ht="15" hidden="false" customHeight="true" outlineLevel="0" collapsed="false">
      <c r="A12" s="11" t="s">
        <v>21</v>
      </c>
      <c r="B12" s="11"/>
      <c r="C12" s="11"/>
      <c r="D12" s="12" t="n">
        <f aca="false">AVERAGE($I$95:$I$144)</f>
        <v>3.4</v>
      </c>
      <c r="E12" s="13" t="n">
        <f aca="false">MIN($I$95:$I$144)</f>
        <v>1</v>
      </c>
      <c r="F12" s="13" t="n">
        <f aca="false">MAX($I$95:$I$144)</f>
        <v>5</v>
      </c>
      <c r="G12" s="14" t="n">
        <f aca="false">COUNTIF($I$95:$I$144,"&gt;=4")/COUNT($I$95:$I$144)</f>
        <v>0.48</v>
      </c>
      <c r="H12" s="14" t="n">
        <f aca="false">COUNTIF($I$95:$I$144,"&lt;=2")/COUNT($I$95:$I$144)</f>
        <v>0.18</v>
      </c>
      <c r="I12" s="13" t="n">
        <f aca="false">RANK(D12,$D$9:$D$15,0)</f>
        <v>4</v>
      </c>
      <c r="J12" s="13" t="str">
        <f aca="false">IF(D12&gt;=4,"Strong",IF(D12&gt;=3.5,"Good",IF(D12&gt;=3,"Needs improvement","Weakest area")))</f>
        <v>Needs improvement</v>
      </c>
    </row>
    <row r="13" customFormat="false" ht="15" hidden="false" customHeight="true" outlineLevel="0" collapsed="false">
      <c r="A13" s="11" t="s">
        <v>22</v>
      </c>
      <c r="B13" s="11"/>
      <c r="C13" s="11"/>
      <c r="D13" s="12" t="n">
        <f aca="false">AVERAGE($J$95:$J$144)</f>
        <v>3.1</v>
      </c>
      <c r="E13" s="13" t="n">
        <f aca="false">MIN($J$95:$J$144)</f>
        <v>1</v>
      </c>
      <c r="F13" s="13" t="n">
        <f aca="false">MAX($J$95:$J$144)</f>
        <v>5</v>
      </c>
      <c r="G13" s="14" t="n">
        <f aca="false">COUNTIF($J$95:$J$144,"&gt;=4")/COUNT($J$95:$J$144)</f>
        <v>0.28</v>
      </c>
      <c r="H13" s="14" t="n">
        <f aca="false">COUNTIF($J$95:$J$144,"&lt;=2")/COUNT($J$95:$J$144)</f>
        <v>0.22</v>
      </c>
      <c r="I13" s="13" t="n">
        <f aca="false">RANK(D13,$D$9:$D$15,0)</f>
        <v>5</v>
      </c>
      <c r="J13" s="13" t="str">
        <f aca="false">IF(D13&gt;=4,"Strong",IF(D13&gt;=3.5,"Good",IF(D13&gt;=3,"Needs improvement","Weakest area")))</f>
        <v>Needs improvement</v>
      </c>
    </row>
    <row r="14" customFormat="false" ht="15" hidden="false" customHeight="true" outlineLevel="0" collapsed="false">
      <c r="A14" s="11" t="s">
        <v>23</v>
      </c>
      <c r="B14" s="11"/>
      <c r="C14" s="11"/>
      <c r="D14" s="12" t="n">
        <f aca="false">AVERAGE($K$95:$K$144)</f>
        <v>2.9</v>
      </c>
      <c r="E14" s="13" t="n">
        <f aca="false">MIN($K$95:$K$144)</f>
        <v>2</v>
      </c>
      <c r="F14" s="13" t="n">
        <f aca="false">MAX($K$95:$K$144)</f>
        <v>4</v>
      </c>
      <c r="G14" s="14" t="n">
        <f aca="false">COUNTIF($K$95:$K$144,"&gt;=4")/COUNT($K$95:$K$144)</f>
        <v>0.22</v>
      </c>
      <c r="H14" s="14" t="n">
        <f aca="false">COUNTIF($K$95:$K$144,"&lt;=2")/COUNT($K$95:$K$144)</f>
        <v>0.32</v>
      </c>
      <c r="I14" s="13" t="n">
        <f aca="false">RANK(D14,$D$9:$D$15,0)</f>
        <v>7</v>
      </c>
      <c r="J14" s="13" t="str">
        <f aca="false">IF(D14&gt;=4,"Strong",IF(D14&gt;=3.5,"Good",IF(D14&gt;=3,"Needs improvement","Weakest area")))</f>
        <v>Weakest area</v>
      </c>
    </row>
    <row r="15" customFormat="false" ht="15" hidden="false" customHeight="true" outlineLevel="0" collapsed="false">
      <c r="A15" s="11" t="s">
        <v>24</v>
      </c>
      <c r="B15" s="11"/>
      <c r="C15" s="11"/>
      <c r="D15" s="12" t="n">
        <f aca="false">AVERAGE($L$95:$L$144)</f>
        <v>3</v>
      </c>
      <c r="E15" s="13" t="n">
        <f aca="false">MIN($L$95:$L$144)</f>
        <v>2</v>
      </c>
      <c r="F15" s="13" t="n">
        <f aca="false">MAX($L$95:$L$144)</f>
        <v>5</v>
      </c>
      <c r="G15" s="14" t="n">
        <f aca="false">COUNTIF($L$95:$L$144,"&gt;=4")/COUNT($L$95:$L$144)</f>
        <v>0.26</v>
      </c>
      <c r="H15" s="14" t="n">
        <f aca="false">COUNTIF($L$95:$L$144,"&lt;=2")/COUNT($L$95:$L$144)</f>
        <v>0.3</v>
      </c>
      <c r="I15" s="13" t="n">
        <f aca="false">RANK(D15,$D$9:$D$15,0)</f>
        <v>6</v>
      </c>
      <c r="J15" s="13" t="str">
        <f aca="false">IF(D15&gt;=4,"Strong",IF(D15&gt;=3.5,"Good",IF(D15&gt;=3,"Needs improvement","Weakest area")))</f>
        <v>Needs improvement</v>
      </c>
    </row>
    <row r="16" customFormat="false" ht="15" hidden="false" customHeight="true" outlineLevel="0" collapsed="false">
      <c r="A16" s="15" t="s">
        <v>25</v>
      </c>
      <c r="B16" s="15"/>
      <c r="C16" s="15"/>
      <c r="D16" s="16" t="n">
        <f aca="false">AVERAGE(D9:D15)</f>
        <v>3.45714285714286</v>
      </c>
      <c r="E16" s="13"/>
      <c r="F16" s="13"/>
      <c r="G16" s="13"/>
      <c r="H16" s="13"/>
      <c r="I16" s="13"/>
      <c r="J16" s="13"/>
    </row>
    <row r="19" customFormat="false" ht="15" hidden="false" customHeight="false" outlineLevel="0" collapsed="false">
      <c r="A19" s="9" t="s">
        <v>26</v>
      </c>
    </row>
    <row r="20" customFormat="false" ht="31.5" hidden="false" customHeight="true" outlineLevel="0" collapsed="false">
      <c r="A20" s="10" t="s">
        <v>27</v>
      </c>
      <c r="B20" s="10"/>
      <c r="C20" s="10"/>
      <c r="D20" s="10" t="s">
        <v>28</v>
      </c>
      <c r="E20" s="10" t="s">
        <v>29</v>
      </c>
    </row>
    <row r="21" customFormat="false" ht="15" hidden="false" customHeight="true" outlineLevel="0" collapsed="false">
      <c r="A21" s="11" t="s">
        <v>30</v>
      </c>
      <c r="B21" s="11"/>
      <c r="C21" s="11"/>
      <c r="D21" s="13" t="n">
        <f aca="false">COUNTIF($M$95:$M$144,"&gt;=4")</f>
        <v>34</v>
      </c>
      <c r="E21" s="14" t="n">
        <f aca="false">D21/$D$24</f>
        <v>0.68</v>
      </c>
    </row>
    <row r="22" customFormat="false" ht="15" hidden="false" customHeight="true" outlineLevel="0" collapsed="false">
      <c r="A22" s="11" t="s">
        <v>31</v>
      </c>
      <c r="B22" s="11"/>
      <c r="C22" s="11"/>
      <c r="D22" s="13" t="n">
        <f aca="false">COUNTIF($M$95:$M$144,3)</f>
        <v>8</v>
      </c>
      <c r="E22" s="14" t="n">
        <f aca="false">D22/$D$24</f>
        <v>0.16</v>
      </c>
    </row>
    <row r="23" customFormat="false" ht="15" hidden="false" customHeight="true" outlineLevel="0" collapsed="false">
      <c r="A23" s="11" t="s">
        <v>32</v>
      </c>
      <c r="B23" s="11"/>
      <c r="C23" s="11"/>
      <c r="D23" s="13" t="n">
        <f aca="false">COUNTIF($M$95:$M$144,"&lt;=2")</f>
        <v>8</v>
      </c>
      <c r="E23" s="14" t="n">
        <f aca="false">D23/$D$24</f>
        <v>0.16</v>
      </c>
    </row>
    <row r="24" customFormat="false" ht="15" hidden="false" customHeight="true" outlineLevel="0" collapsed="false">
      <c r="A24" s="15" t="s">
        <v>33</v>
      </c>
      <c r="B24" s="15"/>
      <c r="C24" s="15"/>
      <c r="D24" s="17" t="n">
        <f aca="false">SUM(D21:D23)</f>
        <v>50</v>
      </c>
      <c r="E24" s="18" t="n">
        <f aca="false">SUM(E21:E23)</f>
        <v>1</v>
      </c>
    </row>
    <row r="25" customFormat="false" ht="15" hidden="false" customHeight="true" outlineLevel="0" collapsed="false">
      <c r="A25" s="15" t="s">
        <v>34</v>
      </c>
      <c r="B25" s="15"/>
      <c r="C25" s="15"/>
      <c r="D25" s="16" t="n">
        <f aca="false">AVERAGE($M$95:$M$144)</f>
        <v>3.86</v>
      </c>
    </row>
    <row r="26" customFormat="false" ht="23.85" hidden="false" customHeight="true" outlineLevel="0" collapsed="false">
      <c r="A26" s="15" t="s">
        <v>35</v>
      </c>
      <c r="B26" s="15"/>
      <c r="C26" s="15"/>
      <c r="D26" s="18" t="n">
        <f aca="false">D21/D24</f>
        <v>0.68</v>
      </c>
    </row>
    <row r="29" customFormat="false" ht="15" hidden="false" customHeight="false" outlineLevel="0" collapsed="false">
      <c r="A29" s="9" t="s">
        <v>36</v>
      </c>
    </row>
    <row r="30" customFormat="false" ht="31.5" hidden="false" customHeight="true" outlineLevel="0" collapsed="false">
      <c r="A30" s="10" t="s">
        <v>37</v>
      </c>
      <c r="B30" s="10"/>
      <c r="C30" s="10"/>
      <c r="D30" s="10" t="s">
        <v>28</v>
      </c>
      <c r="E30" s="10" t="s">
        <v>29</v>
      </c>
    </row>
    <row r="31" customFormat="false" ht="15" hidden="false" customHeight="true" outlineLevel="0" collapsed="false">
      <c r="A31" s="11" t="s">
        <v>38</v>
      </c>
      <c r="B31" s="11"/>
      <c r="C31" s="11"/>
      <c r="D31" s="13" t="n">
        <f aca="false">COUNTIF($P$95:$P$144,A31)</f>
        <v>29</v>
      </c>
      <c r="E31" s="14" t="n">
        <f aca="false">D31/$D$24</f>
        <v>0.58</v>
      </c>
    </row>
    <row r="32" customFormat="false" ht="15" hidden="false" customHeight="true" outlineLevel="0" collapsed="false">
      <c r="A32" s="11" t="s">
        <v>39</v>
      </c>
      <c r="B32" s="11"/>
      <c r="C32" s="11"/>
      <c r="D32" s="13" t="n">
        <f aca="false">COUNTIF($P$95:$P$144,A32)</f>
        <v>15</v>
      </c>
      <c r="E32" s="14" t="n">
        <f aca="false">D32/$D$24</f>
        <v>0.3</v>
      </c>
    </row>
    <row r="33" customFormat="false" ht="15" hidden="false" customHeight="true" outlineLevel="0" collapsed="false">
      <c r="A33" s="11" t="s">
        <v>40</v>
      </c>
      <c r="B33" s="11"/>
      <c r="C33" s="11"/>
      <c r="D33" s="13" t="n">
        <f aca="false">COUNTIF($P$95:$P$144,A33)</f>
        <v>6</v>
      </c>
      <c r="E33" s="14" t="n">
        <f aca="false">D33/$D$24</f>
        <v>0.12</v>
      </c>
    </row>
    <row r="36" customFormat="false" ht="15" hidden="false" customHeight="false" outlineLevel="0" collapsed="false">
      <c r="A36" s="9" t="s">
        <v>41</v>
      </c>
    </row>
    <row r="37" customFormat="false" ht="31.5" hidden="false" customHeight="true" outlineLevel="0" collapsed="false">
      <c r="A37" s="10" t="s">
        <v>42</v>
      </c>
      <c r="B37" s="10"/>
      <c r="C37" s="10"/>
      <c r="D37" s="10" t="s">
        <v>43</v>
      </c>
      <c r="E37" s="10" t="s">
        <v>44</v>
      </c>
      <c r="F37" s="10" t="s">
        <v>45</v>
      </c>
    </row>
    <row r="38" customFormat="false" ht="15" hidden="false" customHeight="true" outlineLevel="0" collapsed="false">
      <c r="A38" s="11" t="s">
        <v>46</v>
      </c>
      <c r="B38" s="11"/>
      <c r="C38" s="11"/>
      <c r="D38" s="13" t="n">
        <f aca="false">COUNTIF($Q$95:$Q$144,"Yes")</f>
        <v>34</v>
      </c>
      <c r="E38" s="14" t="n">
        <f aca="false">D38/$D$24</f>
        <v>0.68</v>
      </c>
      <c r="F38" s="13" t="n">
        <f aca="false">RANK(D38,$D$38:$D$43,0)</f>
        <v>1</v>
      </c>
    </row>
    <row r="39" customFormat="false" ht="15" hidden="false" customHeight="true" outlineLevel="0" collapsed="false">
      <c r="A39" s="11" t="s">
        <v>47</v>
      </c>
      <c r="B39" s="11"/>
      <c r="C39" s="11"/>
      <c r="D39" s="13" t="n">
        <f aca="false">COUNTIF($R$95:$R$144,"Yes")</f>
        <v>27</v>
      </c>
      <c r="E39" s="14" t="n">
        <f aca="false">D39/$D$24</f>
        <v>0.54</v>
      </c>
      <c r="F39" s="13" t="n">
        <f aca="false">RANK(D39,$D$38:$D$43,0)</f>
        <v>2</v>
      </c>
    </row>
    <row r="40" customFormat="false" ht="15" hidden="false" customHeight="true" outlineLevel="0" collapsed="false">
      <c r="A40" s="11" t="s">
        <v>48</v>
      </c>
      <c r="B40" s="11"/>
      <c r="C40" s="11"/>
      <c r="D40" s="13" t="n">
        <f aca="false">COUNTIF($S$95:$S$144,"Yes")</f>
        <v>21</v>
      </c>
      <c r="E40" s="14" t="n">
        <f aca="false">D40/$D$24</f>
        <v>0.42</v>
      </c>
      <c r="F40" s="13" t="n">
        <f aca="false">RANK(D40,$D$38:$D$43,0)</f>
        <v>3</v>
      </c>
    </row>
    <row r="41" customFormat="false" ht="15" hidden="false" customHeight="true" outlineLevel="0" collapsed="false">
      <c r="A41" s="11" t="s">
        <v>49</v>
      </c>
      <c r="B41" s="11"/>
      <c r="C41" s="11"/>
      <c r="D41" s="13" t="n">
        <f aca="false">COUNTIF($T$95:$T$144,"Yes")</f>
        <v>18</v>
      </c>
      <c r="E41" s="14" t="n">
        <f aca="false">D41/$D$24</f>
        <v>0.36</v>
      </c>
      <c r="F41" s="13" t="n">
        <f aca="false">RANK(D41,$D$38:$D$43,0)</f>
        <v>4</v>
      </c>
    </row>
    <row r="42" customFormat="false" ht="15" hidden="false" customHeight="true" outlineLevel="0" collapsed="false">
      <c r="A42" s="11" t="s">
        <v>50</v>
      </c>
      <c r="B42" s="11"/>
      <c r="C42" s="11"/>
      <c r="D42" s="13" t="n">
        <f aca="false">COUNTIF($U$95:$U$144,"Yes")</f>
        <v>11</v>
      </c>
      <c r="E42" s="14" t="n">
        <f aca="false">D42/$D$24</f>
        <v>0.22</v>
      </c>
      <c r="F42" s="13" t="n">
        <f aca="false">RANK(D42,$D$38:$D$43,0)</f>
        <v>5</v>
      </c>
    </row>
    <row r="43" customFormat="false" ht="15" hidden="false" customHeight="true" outlineLevel="0" collapsed="false">
      <c r="A43" s="11" t="s">
        <v>51</v>
      </c>
      <c r="B43" s="11"/>
      <c r="C43" s="11"/>
      <c r="D43" s="13" t="n">
        <f aca="false">COUNTIF($V$95:$V$144,"Yes")</f>
        <v>8</v>
      </c>
      <c r="E43" s="14" t="n">
        <f aca="false">D43/$D$24</f>
        <v>0.16</v>
      </c>
      <c r="F43" s="13" t="n">
        <f aca="false">RANK(D43,$D$38:$D$43,0)</f>
        <v>6</v>
      </c>
    </row>
    <row r="46" customFormat="false" ht="15" hidden="false" customHeight="false" outlineLevel="0" collapsed="false">
      <c r="A46" s="9" t="s">
        <v>52</v>
      </c>
    </row>
    <row r="47" customFormat="false" ht="31.5" hidden="false" customHeight="true" outlineLevel="0" collapsed="false">
      <c r="A47" s="10" t="s">
        <v>53</v>
      </c>
      <c r="B47" s="10"/>
      <c r="C47" s="10"/>
      <c r="D47" s="10" t="s">
        <v>54</v>
      </c>
      <c r="E47" s="10" t="s">
        <v>29</v>
      </c>
    </row>
    <row r="48" customFormat="false" ht="15" hidden="false" customHeight="true" outlineLevel="0" collapsed="false">
      <c r="A48" s="11" t="s">
        <v>55</v>
      </c>
      <c r="B48" s="11"/>
      <c r="C48" s="11"/>
      <c r="D48" s="13" t="n">
        <f aca="false">COUNTIF($B$95:$B$144,A48)</f>
        <v>3</v>
      </c>
      <c r="E48" s="14" t="n">
        <f aca="false">D48/$D$24</f>
        <v>0.06</v>
      </c>
    </row>
    <row r="49" customFormat="false" ht="15" hidden="false" customHeight="true" outlineLevel="0" collapsed="false">
      <c r="A49" s="11" t="s">
        <v>56</v>
      </c>
      <c r="B49" s="11"/>
      <c r="C49" s="11"/>
      <c r="D49" s="13" t="n">
        <f aca="false">COUNTIF($B$95:$B$144,A49)</f>
        <v>32</v>
      </c>
      <c r="E49" s="14" t="n">
        <f aca="false">D49/$D$24</f>
        <v>0.64</v>
      </c>
    </row>
    <row r="50" customFormat="false" ht="15" hidden="false" customHeight="true" outlineLevel="0" collapsed="false">
      <c r="A50" s="11" t="s">
        <v>57</v>
      </c>
      <c r="B50" s="11"/>
      <c r="C50" s="11"/>
      <c r="D50" s="13" t="n">
        <f aca="false">COUNTIF($B$95:$B$144,A50)</f>
        <v>11</v>
      </c>
      <c r="E50" s="14" t="n">
        <f aca="false">D50/$D$24</f>
        <v>0.22</v>
      </c>
    </row>
    <row r="51" customFormat="false" ht="15" hidden="false" customHeight="true" outlineLevel="0" collapsed="false">
      <c r="A51" s="11" t="s">
        <v>58</v>
      </c>
      <c r="B51" s="11"/>
      <c r="C51" s="11"/>
      <c r="D51" s="13" t="n">
        <f aca="false">COUNTIF($B$95:$B$144,A51)</f>
        <v>4</v>
      </c>
      <c r="E51" s="14" t="n">
        <f aca="false">D51/$D$24</f>
        <v>0.08</v>
      </c>
    </row>
    <row r="53" customFormat="false" ht="31.5" hidden="false" customHeight="true" outlineLevel="0" collapsed="false">
      <c r="A53" s="10" t="s">
        <v>59</v>
      </c>
      <c r="B53" s="10"/>
      <c r="C53" s="10"/>
      <c r="D53" s="10" t="s">
        <v>54</v>
      </c>
      <c r="E53" s="10" t="s">
        <v>29</v>
      </c>
    </row>
    <row r="54" customFormat="false" ht="15" hidden="false" customHeight="true" outlineLevel="0" collapsed="false">
      <c r="A54" s="11" t="s">
        <v>60</v>
      </c>
      <c r="B54" s="11"/>
      <c r="C54" s="11"/>
      <c r="D54" s="13" t="n">
        <f aca="false">COUNTIF($D$95:$D$144,A54)</f>
        <v>11</v>
      </c>
      <c r="E54" s="14" t="n">
        <f aca="false">D54/$D$24</f>
        <v>0.22</v>
      </c>
    </row>
    <row r="55" customFormat="false" ht="15" hidden="false" customHeight="true" outlineLevel="0" collapsed="false">
      <c r="A55" s="11" t="s">
        <v>61</v>
      </c>
      <c r="B55" s="11"/>
      <c r="C55" s="11"/>
      <c r="D55" s="13" t="n">
        <f aca="false">COUNTIF($D$95:$D$144,A55)</f>
        <v>18</v>
      </c>
      <c r="E55" s="14" t="n">
        <f aca="false">D55/$D$24</f>
        <v>0.36</v>
      </c>
    </row>
    <row r="56" customFormat="false" ht="15" hidden="false" customHeight="true" outlineLevel="0" collapsed="false">
      <c r="A56" s="11" t="s">
        <v>62</v>
      </c>
      <c r="B56" s="11"/>
      <c r="C56" s="11"/>
      <c r="D56" s="13" t="n">
        <f aca="false">COUNTIF($D$95:$D$144,A56)</f>
        <v>16</v>
      </c>
      <c r="E56" s="14" t="n">
        <f aca="false">D56/$D$24</f>
        <v>0.32</v>
      </c>
    </row>
    <row r="57" customFormat="false" ht="15" hidden="false" customHeight="true" outlineLevel="0" collapsed="false">
      <c r="A57" s="11" t="s">
        <v>63</v>
      </c>
      <c r="B57" s="11"/>
      <c r="C57" s="11"/>
      <c r="D57" s="13" t="n">
        <f aca="false">COUNTIF($D$95:$D$144,A57)</f>
        <v>5</v>
      </c>
      <c r="E57" s="14" t="n">
        <f aca="false">D57/$D$24</f>
        <v>0.1</v>
      </c>
    </row>
    <row r="59" customFormat="false" ht="31.5" hidden="false" customHeight="true" outlineLevel="0" collapsed="false">
      <c r="A59" s="10" t="s">
        <v>64</v>
      </c>
      <c r="B59" s="10"/>
      <c r="C59" s="10"/>
      <c r="D59" s="10" t="s">
        <v>54</v>
      </c>
      <c r="E59" s="10" t="s">
        <v>29</v>
      </c>
    </row>
    <row r="60" customFormat="false" ht="15" hidden="false" customHeight="true" outlineLevel="0" collapsed="false">
      <c r="A60" s="11" t="s">
        <v>65</v>
      </c>
      <c r="B60" s="11"/>
      <c r="C60" s="11"/>
      <c r="D60" s="13" t="n">
        <f aca="false">COUNTIF($E$95:$E$144,A60)</f>
        <v>9</v>
      </c>
      <c r="E60" s="14" t="n">
        <f aca="false">D60/$D$24</f>
        <v>0.18</v>
      </c>
    </row>
    <row r="61" customFormat="false" ht="15" hidden="false" customHeight="true" outlineLevel="0" collapsed="false">
      <c r="A61" s="11" t="s">
        <v>66</v>
      </c>
      <c r="B61" s="11"/>
      <c r="C61" s="11"/>
      <c r="D61" s="13" t="n">
        <f aca="false">COUNTIF($E$95:$E$144,A61)</f>
        <v>20</v>
      </c>
      <c r="E61" s="14" t="n">
        <f aca="false">D61/$D$24</f>
        <v>0.4</v>
      </c>
    </row>
    <row r="62" customFormat="false" ht="15" hidden="false" customHeight="true" outlineLevel="0" collapsed="false">
      <c r="A62" s="11" t="s">
        <v>67</v>
      </c>
      <c r="B62" s="11"/>
      <c r="C62" s="11"/>
      <c r="D62" s="13" t="n">
        <f aca="false">COUNTIF($E$95:$E$144,A62)</f>
        <v>15</v>
      </c>
      <c r="E62" s="14" t="n">
        <f aca="false">D62/$D$24</f>
        <v>0.3</v>
      </c>
    </row>
    <row r="63" customFormat="false" ht="15" hidden="false" customHeight="true" outlineLevel="0" collapsed="false">
      <c r="A63" s="11" t="s">
        <v>68</v>
      </c>
      <c r="B63" s="11"/>
      <c r="C63" s="11"/>
      <c r="D63" s="13" t="n">
        <f aca="false">COUNTIF($E$95:$E$144,A63)</f>
        <v>6</v>
      </c>
      <c r="E63" s="14" t="n">
        <f aca="false">D63/$D$24</f>
        <v>0.12</v>
      </c>
    </row>
    <row r="65" customFormat="false" ht="31.5" hidden="false" customHeight="true" outlineLevel="0" collapsed="false">
      <c r="A65" s="10" t="s">
        <v>69</v>
      </c>
      <c r="B65" s="10"/>
      <c r="C65" s="10"/>
      <c r="D65" s="10" t="s">
        <v>54</v>
      </c>
      <c r="E65" s="10" t="s">
        <v>29</v>
      </c>
    </row>
    <row r="66" customFormat="false" ht="15" hidden="false" customHeight="true" outlineLevel="0" collapsed="false">
      <c r="A66" s="11" t="s">
        <v>70</v>
      </c>
      <c r="B66" s="11"/>
      <c r="C66" s="11"/>
      <c r="D66" s="13" t="n">
        <f aca="false">COUNTIF($C$95:$C$144,A66)</f>
        <v>26</v>
      </c>
      <c r="E66" s="14" t="n">
        <f aca="false">D66/$D$24</f>
        <v>0.52</v>
      </c>
    </row>
    <row r="67" customFormat="false" ht="15" hidden="false" customHeight="true" outlineLevel="0" collapsed="false">
      <c r="A67" s="11" t="s">
        <v>71</v>
      </c>
      <c r="B67" s="11"/>
      <c r="C67" s="11"/>
      <c r="D67" s="13" t="n">
        <f aca="false">COUNTIF($C$95:$C$144,A67)</f>
        <v>24</v>
      </c>
      <c r="E67" s="14" t="n">
        <f aca="false">D67/$D$24</f>
        <v>0.48</v>
      </c>
    </row>
    <row r="70" customFormat="false" ht="15" hidden="false" customHeight="false" outlineLevel="0" collapsed="false">
      <c r="A70" s="9" t="s">
        <v>72</v>
      </c>
    </row>
    <row r="71" customFormat="false" ht="31.5" hidden="false" customHeight="true" outlineLevel="0" collapsed="false">
      <c r="A71" s="10" t="s">
        <v>73</v>
      </c>
      <c r="B71" s="10"/>
      <c r="C71" s="10"/>
      <c r="D71" s="10" t="s">
        <v>74</v>
      </c>
      <c r="E71" s="10" t="s">
        <v>75</v>
      </c>
    </row>
    <row r="72" customFormat="false" ht="15" hidden="false" customHeight="true" outlineLevel="0" collapsed="false">
      <c r="A72" s="11" t="s">
        <v>76</v>
      </c>
      <c r="B72" s="11"/>
      <c r="C72" s="11"/>
      <c r="D72" s="19" t="n">
        <v>9243</v>
      </c>
      <c r="E72" s="20" t="n">
        <f aca="false">D72/$D$79</f>
        <v>0.243538060232393</v>
      </c>
    </row>
    <row r="73" customFormat="false" ht="15" hidden="false" customHeight="true" outlineLevel="0" collapsed="false">
      <c r="A73" s="11" t="s">
        <v>77</v>
      </c>
      <c r="B73" s="11"/>
      <c r="C73" s="11"/>
      <c r="D73" s="19" t="n">
        <v>6179</v>
      </c>
      <c r="E73" s="20" t="n">
        <f aca="false">D73/$D$79</f>
        <v>0.16280662925197</v>
      </c>
    </row>
    <row r="74" customFormat="false" ht="15" hidden="false" customHeight="true" outlineLevel="0" collapsed="false">
      <c r="A74" s="11" t="s">
        <v>78</v>
      </c>
      <c r="B74" s="11"/>
      <c r="C74" s="11"/>
      <c r="D74" s="19" t="n">
        <v>5481</v>
      </c>
      <c r="E74" s="20" t="n">
        <f aca="false">D74/$D$79</f>
        <v>0.144415461228361</v>
      </c>
    </row>
    <row r="75" customFormat="false" ht="15" hidden="false" customHeight="true" outlineLevel="0" collapsed="false">
      <c r="A75" s="11" t="s">
        <v>79</v>
      </c>
      <c r="B75" s="11"/>
      <c r="C75" s="11"/>
      <c r="D75" s="19" t="n">
        <v>4728</v>
      </c>
      <c r="E75" s="20" t="n">
        <f aca="false">D75/$D$79</f>
        <v>0.124575132400601</v>
      </c>
    </row>
    <row r="76" customFormat="false" ht="15" hidden="false" customHeight="true" outlineLevel="0" collapsed="false">
      <c r="A76" s="11" t="s">
        <v>80</v>
      </c>
      <c r="B76" s="11"/>
      <c r="C76" s="11"/>
      <c r="D76" s="19" t="n">
        <v>4436</v>
      </c>
      <c r="E76" s="20" t="n">
        <f aca="false">D76/$D$79</f>
        <v>0.116881405949464</v>
      </c>
    </row>
    <row r="77" customFormat="false" ht="15" hidden="false" customHeight="true" outlineLevel="0" collapsed="false">
      <c r="A77" s="11" t="s">
        <v>81</v>
      </c>
      <c r="B77" s="11"/>
      <c r="C77" s="11"/>
      <c r="D77" s="19" t="n">
        <v>4099</v>
      </c>
      <c r="E77" s="20" t="n">
        <f aca="false">D77/$D$79</f>
        <v>0.108002002476748</v>
      </c>
    </row>
    <row r="78" customFormat="false" ht="15" hidden="false" customHeight="true" outlineLevel="0" collapsed="false">
      <c r="A78" s="11" t="s">
        <v>82</v>
      </c>
      <c r="B78" s="11"/>
      <c r="C78" s="11"/>
      <c r="D78" s="19" t="n">
        <v>3787</v>
      </c>
      <c r="E78" s="20" t="n">
        <f aca="false">D78/$D$79</f>
        <v>0.0997813084604643</v>
      </c>
    </row>
    <row r="79" customFormat="false" ht="15" hidden="false" customHeight="true" outlineLevel="0" collapsed="false">
      <c r="A79" s="15" t="s">
        <v>83</v>
      </c>
      <c r="B79" s="15"/>
      <c r="C79" s="15"/>
      <c r="D79" s="21" t="n">
        <f aca="false">SUM(D72:D78)</f>
        <v>37953</v>
      </c>
      <c r="E79" s="22" t="n">
        <f aca="false">SUM(E72:E78)</f>
        <v>1</v>
      </c>
    </row>
    <row r="82" customFormat="false" ht="15" hidden="false" customHeight="false" outlineLevel="0" collapsed="false">
      <c r="A82" s="9" t="s">
        <v>84</v>
      </c>
    </row>
    <row r="83" customFormat="false" ht="31.5" hidden="false" customHeight="true" outlineLevel="0" collapsed="false">
      <c r="A83" s="10" t="s">
        <v>85</v>
      </c>
      <c r="B83" s="10"/>
      <c r="C83" s="10"/>
      <c r="D83" s="10" t="s">
        <v>86</v>
      </c>
    </row>
    <row r="84" customFormat="false" ht="15" hidden="false" customHeight="true" outlineLevel="0" collapsed="false">
      <c r="A84" s="11" t="s">
        <v>87</v>
      </c>
      <c r="B84" s="11"/>
      <c r="C84" s="11"/>
      <c r="D84" s="19" t="n">
        <v>133000</v>
      </c>
    </row>
    <row r="85" customFormat="false" ht="15" hidden="false" customHeight="true" outlineLevel="0" collapsed="false">
      <c r="A85" s="11" t="s">
        <v>88</v>
      </c>
      <c r="B85" s="11"/>
      <c r="C85" s="11"/>
      <c r="D85" s="19" t="n">
        <v>91248</v>
      </c>
    </row>
    <row r="86" customFormat="false" ht="15" hidden="false" customHeight="true" outlineLevel="0" collapsed="false">
      <c r="A86" s="11" t="s">
        <v>89</v>
      </c>
      <c r="B86" s="11"/>
      <c r="C86" s="11"/>
      <c r="D86" s="19" t="n">
        <v>29284</v>
      </c>
    </row>
    <row r="87" customFormat="false" ht="15" hidden="false" customHeight="true" outlineLevel="0" collapsed="false">
      <c r="A87" s="11" t="s">
        <v>90</v>
      </c>
      <c r="B87" s="11"/>
      <c r="C87" s="11"/>
      <c r="D87" s="19" t="n">
        <v>25384</v>
      </c>
    </row>
    <row r="88" customFormat="false" ht="15" hidden="false" customHeight="true" outlineLevel="0" collapsed="false">
      <c r="A88" s="11" t="s">
        <v>91</v>
      </c>
      <c r="B88" s="11"/>
      <c r="C88" s="11"/>
      <c r="D88" s="19" t="n">
        <v>19895</v>
      </c>
    </row>
    <row r="90" customFormat="false" ht="15" hidden="false" customHeight="false" outlineLevel="0" collapsed="false">
      <c r="A90" s="2" t="s">
        <v>92</v>
      </c>
    </row>
    <row r="93" customFormat="false" ht="15" hidden="false" customHeight="false" outlineLevel="0" collapsed="false">
      <c r="A93" s="9" t="s">
        <v>93</v>
      </c>
    </row>
    <row r="94" customFormat="false" ht="45" hidden="false" customHeight="true" outlineLevel="0" collapsed="false">
      <c r="A94" s="10" t="s">
        <v>94</v>
      </c>
      <c r="B94" s="10" t="s">
        <v>53</v>
      </c>
      <c r="C94" s="10" t="s">
        <v>69</v>
      </c>
      <c r="D94" s="10" t="s">
        <v>59</v>
      </c>
      <c r="E94" s="10" t="s">
        <v>64</v>
      </c>
      <c r="F94" s="10" t="s">
        <v>18</v>
      </c>
      <c r="G94" s="10" t="s">
        <v>19</v>
      </c>
      <c r="H94" s="10" t="s">
        <v>20</v>
      </c>
      <c r="I94" s="10" t="s">
        <v>21</v>
      </c>
      <c r="J94" s="10" t="s">
        <v>22</v>
      </c>
      <c r="K94" s="10" t="s">
        <v>23</v>
      </c>
      <c r="L94" s="10" t="s">
        <v>24</v>
      </c>
      <c r="M94" s="10" t="s">
        <v>95</v>
      </c>
      <c r="N94" s="10" t="s">
        <v>96</v>
      </c>
      <c r="O94" s="10" t="s">
        <v>27</v>
      </c>
      <c r="P94" s="10" t="s">
        <v>97</v>
      </c>
      <c r="Q94" s="10" t="s">
        <v>98</v>
      </c>
      <c r="R94" s="10" t="s">
        <v>99</v>
      </c>
      <c r="S94" s="10" t="s">
        <v>100</v>
      </c>
      <c r="T94" s="10" t="s">
        <v>101</v>
      </c>
      <c r="U94" s="10" t="s">
        <v>102</v>
      </c>
      <c r="V94" s="10" t="s">
        <v>103</v>
      </c>
    </row>
    <row r="95" customFormat="false" ht="15" hidden="false" customHeight="false" outlineLevel="0" collapsed="false">
      <c r="A95" s="23" t="s">
        <v>104</v>
      </c>
      <c r="B95" s="13" t="s">
        <v>57</v>
      </c>
      <c r="C95" s="13" t="s">
        <v>71</v>
      </c>
      <c r="D95" s="13" t="s">
        <v>62</v>
      </c>
      <c r="E95" s="13" t="s">
        <v>67</v>
      </c>
      <c r="F95" s="24" t="n">
        <v>5</v>
      </c>
      <c r="G95" s="24" t="n">
        <v>4</v>
      </c>
      <c r="H95" s="24" t="n">
        <v>3</v>
      </c>
      <c r="I95" s="24" t="n">
        <v>4</v>
      </c>
      <c r="J95" s="24" t="n">
        <v>2</v>
      </c>
      <c r="K95" s="24" t="n">
        <v>2</v>
      </c>
      <c r="L95" s="24" t="n">
        <v>3</v>
      </c>
      <c r="M95" s="24" t="n">
        <v>3</v>
      </c>
      <c r="N95" s="12" t="n">
        <f aca="false">ROUND(AVERAGE(F95:L95),2)</f>
        <v>3.29</v>
      </c>
      <c r="O95" s="13" t="str">
        <f aca="false">IF(M95&gt;=4,"Satisfied",IF(M95=3,"Neutral","Dissatisfied"))</f>
        <v>Neutral</v>
      </c>
      <c r="P95" s="24" t="s">
        <v>39</v>
      </c>
      <c r="Q95" s="24" t="s">
        <v>38</v>
      </c>
      <c r="R95" s="24" t="s">
        <v>38</v>
      </c>
      <c r="S95" s="24" t="s">
        <v>40</v>
      </c>
      <c r="T95" s="24" t="s">
        <v>40</v>
      </c>
      <c r="U95" s="24" t="s">
        <v>40</v>
      </c>
      <c r="V95" s="24" t="s">
        <v>40</v>
      </c>
    </row>
    <row r="96" customFormat="false" ht="15" hidden="false" customHeight="false" outlineLevel="0" collapsed="false">
      <c r="A96" s="23" t="s">
        <v>105</v>
      </c>
      <c r="B96" s="13" t="s">
        <v>58</v>
      </c>
      <c r="C96" s="13" t="s">
        <v>70</v>
      </c>
      <c r="D96" s="13" t="s">
        <v>60</v>
      </c>
      <c r="E96" s="13" t="s">
        <v>65</v>
      </c>
      <c r="F96" s="24" t="n">
        <v>3</v>
      </c>
      <c r="G96" s="24" t="n">
        <v>5</v>
      </c>
      <c r="H96" s="24" t="n">
        <v>4</v>
      </c>
      <c r="I96" s="24" t="n">
        <v>1</v>
      </c>
      <c r="J96" s="24" t="n">
        <v>2</v>
      </c>
      <c r="K96" s="24" t="n">
        <v>2</v>
      </c>
      <c r="L96" s="24" t="n">
        <v>3</v>
      </c>
      <c r="M96" s="24" t="n">
        <v>2</v>
      </c>
      <c r="N96" s="12" t="n">
        <f aca="false">ROUND(AVERAGE(F96:L96),2)</f>
        <v>2.86</v>
      </c>
      <c r="O96" s="13" t="str">
        <f aca="false">IF(M96&gt;=4,"Satisfied",IF(M96=3,"Neutral","Dissatisfied"))</f>
        <v>Dissatisfied</v>
      </c>
      <c r="P96" s="24" t="s">
        <v>40</v>
      </c>
      <c r="Q96" s="24" t="s">
        <v>38</v>
      </c>
      <c r="R96" s="24" t="s">
        <v>38</v>
      </c>
      <c r="S96" s="24" t="s">
        <v>38</v>
      </c>
      <c r="T96" s="24" t="s">
        <v>40</v>
      </c>
      <c r="U96" s="24" t="s">
        <v>40</v>
      </c>
      <c r="V96" s="24" t="s">
        <v>38</v>
      </c>
    </row>
    <row r="97" customFormat="false" ht="15" hidden="false" customHeight="false" outlineLevel="0" collapsed="false">
      <c r="A97" s="23" t="s">
        <v>106</v>
      </c>
      <c r="B97" s="13" t="s">
        <v>56</v>
      </c>
      <c r="C97" s="13" t="s">
        <v>70</v>
      </c>
      <c r="D97" s="13" t="s">
        <v>60</v>
      </c>
      <c r="E97" s="13" t="s">
        <v>67</v>
      </c>
      <c r="F97" s="24" t="n">
        <v>5</v>
      </c>
      <c r="G97" s="24" t="n">
        <v>5</v>
      </c>
      <c r="H97" s="24" t="n">
        <v>3</v>
      </c>
      <c r="I97" s="24" t="n">
        <v>4</v>
      </c>
      <c r="J97" s="24" t="n">
        <v>2</v>
      </c>
      <c r="K97" s="24" t="n">
        <v>3</v>
      </c>
      <c r="L97" s="24" t="n">
        <v>4</v>
      </c>
      <c r="M97" s="24" t="n">
        <v>5</v>
      </c>
      <c r="N97" s="12" t="n">
        <f aca="false">ROUND(AVERAGE(F97:L97),2)</f>
        <v>3.71</v>
      </c>
      <c r="O97" s="13" t="str">
        <f aca="false">IF(M97&gt;=4,"Satisfied",IF(M97=3,"Neutral","Dissatisfied"))</f>
        <v>Satisfied</v>
      </c>
      <c r="P97" s="24" t="s">
        <v>38</v>
      </c>
      <c r="Q97" s="24" t="s">
        <v>38</v>
      </c>
      <c r="R97" s="24" t="s">
        <v>40</v>
      </c>
      <c r="S97" s="24" t="s">
        <v>38</v>
      </c>
      <c r="T97" s="24" t="s">
        <v>40</v>
      </c>
      <c r="U97" s="24" t="s">
        <v>40</v>
      </c>
      <c r="V97" s="24" t="s">
        <v>40</v>
      </c>
    </row>
    <row r="98" customFormat="false" ht="15" hidden="false" customHeight="false" outlineLevel="0" collapsed="false">
      <c r="A98" s="23" t="s">
        <v>107</v>
      </c>
      <c r="B98" s="13" t="s">
        <v>56</v>
      </c>
      <c r="C98" s="13" t="s">
        <v>71</v>
      </c>
      <c r="D98" s="13" t="s">
        <v>62</v>
      </c>
      <c r="E98" s="13" t="s">
        <v>66</v>
      </c>
      <c r="F98" s="24" t="n">
        <v>5</v>
      </c>
      <c r="G98" s="24" t="n">
        <v>5</v>
      </c>
      <c r="H98" s="24" t="n">
        <v>4</v>
      </c>
      <c r="I98" s="24" t="n">
        <v>4</v>
      </c>
      <c r="J98" s="24" t="n">
        <v>4</v>
      </c>
      <c r="K98" s="24" t="n">
        <v>3</v>
      </c>
      <c r="L98" s="24" t="n">
        <v>2</v>
      </c>
      <c r="M98" s="24" t="n">
        <v>5</v>
      </c>
      <c r="N98" s="12" t="n">
        <f aca="false">ROUND(AVERAGE(F98:L98),2)</f>
        <v>3.86</v>
      </c>
      <c r="O98" s="13" t="str">
        <f aca="false">IF(M98&gt;=4,"Satisfied",IF(M98=3,"Neutral","Dissatisfied"))</f>
        <v>Satisfied</v>
      </c>
      <c r="P98" s="24" t="s">
        <v>38</v>
      </c>
      <c r="Q98" s="24" t="s">
        <v>40</v>
      </c>
      <c r="R98" s="24" t="s">
        <v>40</v>
      </c>
      <c r="S98" s="24" t="s">
        <v>40</v>
      </c>
      <c r="T98" s="24" t="s">
        <v>38</v>
      </c>
      <c r="U98" s="24" t="s">
        <v>40</v>
      </c>
      <c r="V98" s="24" t="s">
        <v>40</v>
      </c>
    </row>
    <row r="99" customFormat="false" ht="15" hidden="false" customHeight="false" outlineLevel="0" collapsed="false">
      <c r="A99" s="23" t="s">
        <v>108</v>
      </c>
      <c r="B99" s="13" t="s">
        <v>56</v>
      </c>
      <c r="C99" s="13" t="s">
        <v>70</v>
      </c>
      <c r="D99" s="13" t="s">
        <v>61</v>
      </c>
      <c r="E99" s="13" t="s">
        <v>67</v>
      </c>
      <c r="F99" s="24" t="n">
        <v>3</v>
      </c>
      <c r="G99" s="24" t="n">
        <v>5</v>
      </c>
      <c r="H99" s="24" t="n">
        <v>5</v>
      </c>
      <c r="I99" s="24" t="n">
        <v>3</v>
      </c>
      <c r="J99" s="24" t="n">
        <v>3</v>
      </c>
      <c r="K99" s="24" t="n">
        <v>3</v>
      </c>
      <c r="L99" s="24" t="n">
        <v>3</v>
      </c>
      <c r="M99" s="24" t="n">
        <v>4</v>
      </c>
      <c r="N99" s="12" t="n">
        <f aca="false">ROUND(AVERAGE(F99:L99),2)</f>
        <v>3.57</v>
      </c>
      <c r="O99" s="13" t="str">
        <f aca="false">IF(M99&gt;=4,"Satisfied",IF(M99=3,"Neutral","Dissatisfied"))</f>
        <v>Satisfied</v>
      </c>
      <c r="P99" s="24" t="s">
        <v>38</v>
      </c>
      <c r="Q99" s="24" t="s">
        <v>38</v>
      </c>
      <c r="R99" s="24" t="s">
        <v>38</v>
      </c>
      <c r="S99" s="24" t="s">
        <v>38</v>
      </c>
      <c r="T99" s="24" t="s">
        <v>38</v>
      </c>
      <c r="U99" s="24" t="s">
        <v>40</v>
      </c>
      <c r="V99" s="24" t="s">
        <v>38</v>
      </c>
    </row>
    <row r="100" customFormat="false" ht="15" hidden="false" customHeight="false" outlineLevel="0" collapsed="false">
      <c r="A100" s="23" t="s">
        <v>109</v>
      </c>
      <c r="B100" s="13" t="s">
        <v>56</v>
      </c>
      <c r="C100" s="13" t="s">
        <v>70</v>
      </c>
      <c r="D100" s="13" t="s">
        <v>60</v>
      </c>
      <c r="E100" s="13" t="s">
        <v>66</v>
      </c>
      <c r="F100" s="24" t="n">
        <v>5</v>
      </c>
      <c r="G100" s="24" t="n">
        <v>4</v>
      </c>
      <c r="H100" s="24" t="n">
        <v>2</v>
      </c>
      <c r="I100" s="24" t="n">
        <v>2</v>
      </c>
      <c r="J100" s="24" t="n">
        <v>2</v>
      </c>
      <c r="K100" s="24" t="n">
        <v>2</v>
      </c>
      <c r="L100" s="24" t="n">
        <v>5</v>
      </c>
      <c r="M100" s="24" t="n">
        <v>3</v>
      </c>
      <c r="N100" s="12" t="n">
        <f aca="false">ROUND(AVERAGE(F100:L100),2)</f>
        <v>3.14</v>
      </c>
      <c r="O100" s="13" t="str">
        <f aca="false">IF(M100&gt;=4,"Satisfied",IF(M100=3,"Neutral","Dissatisfied"))</f>
        <v>Neutral</v>
      </c>
      <c r="P100" s="24" t="s">
        <v>39</v>
      </c>
      <c r="Q100" s="24" t="s">
        <v>38</v>
      </c>
      <c r="R100" s="24" t="s">
        <v>38</v>
      </c>
      <c r="S100" s="24" t="s">
        <v>38</v>
      </c>
      <c r="T100" s="24" t="s">
        <v>40</v>
      </c>
      <c r="U100" s="24" t="s">
        <v>38</v>
      </c>
      <c r="V100" s="24" t="s">
        <v>40</v>
      </c>
    </row>
    <row r="101" customFormat="false" ht="15" hidden="false" customHeight="false" outlineLevel="0" collapsed="false">
      <c r="A101" s="23" t="s">
        <v>110</v>
      </c>
      <c r="B101" s="13" t="s">
        <v>57</v>
      </c>
      <c r="C101" s="13" t="s">
        <v>70</v>
      </c>
      <c r="D101" s="13" t="s">
        <v>62</v>
      </c>
      <c r="E101" s="13" t="s">
        <v>66</v>
      </c>
      <c r="F101" s="24" t="n">
        <v>5</v>
      </c>
      <c r="G101" s="24" t="n">
        <v>4</v>
      </c>
      <c r="H101" s="24" t="n">
        <v>1</v>
      </c>
      <c r="I101" s="24" t="n">
        <v>1</v>
      </c>
      <c r="J101" s="24" t="n">
        <v>2</v>
      </c>
      <c r="K101" s="24" t="n">
        <v>2</v>
      </c>
      <c r="L101" s="24" t="n">
        <v>2</v>
      </c>
      <c r="M101" s="24" t="n">
        <v>1</v>
      </c>
      <c r="N101" s="12" t="n">
        <f aca="false">ROUND(AVERAGE(F101:L101),2)</f>
        <v>2.43</v>
      </c>
      <c r="O101" s="13" t="str">
        <f aca="false">IF(M101&gt;=4,"Satisfied",IF(M101=3,"Neutral","Dissatisfied"))</f>
        <v>Dissatisfied</v>
      </c>
      <c r="P101" s="24" t="s">
        <v>40</v>
      </c>
      <c r="Q101" s="24" t="s">
        <v>38</v>
      </c>
      <c r="R101" s="24" t="s">
        <v>38</v>
      </c>
      <c r="S101" s="24" t="s">
        <v>38</v>
      </c>
      <c r="T101" s="24" t="s">
        <v>38</v>
      </c>
      <c r="U101" s="24" t="s">
        <v>38</v>
      </c>
      <c r="V101" s="24" t="s">
        <v>40</v>
      </c>
    </row>
    <row r="102" customFormat="false" ht="15" hidden="false" customHeight="false" outlineLevel="0" collapsed="false">
      <c r="A102" s="23" t="s">
        <v>111</v>
      </c>
      <c r="B102" s="13" t="s">
        <v>57</v>
      </c>
      <c r="C102" s="13" t="s">
        <v>70</v>
      </c>
      <c r="D102" s="13" t="s">
        <v>62</v>
      </c>
      <c r="E102" s="13" t="s">
        <v>66</v>
      </c>
      <c r="F102" s="24" t="n">
        <v>2</v>
      </c>
      <c r="G102" s="24" t="n">
        <v>4</v>
      </c>
      <c r="H102" s="24" t="n">
        <v>3</v>
      </c>
      <c r="I102" s="24" t="n">
        <v>5</v>
      </c>
      <c r="J102" s="24" t="n">
        <v>3</v>
      </c>
      <c r="K102" s="24" t="n">
        <v>4</v>
      </c>
      <c r="L102" s="24" t="n">
        <v>3</v>
      </c>
      <c r="M102" s="24" t="n">
        <v>4</v>
      </c>
      <c r="N102" s="12" t="n">
        <f aca="false">ROUND(AVERAGE(F102:L102),2)</f>
        <v>3.43</v>
      </c>
      <c r="O102" s="13" t="str">
        <f aca="false">IF(M102&gt;=4,"Satisfied",IF(M102=3,"Neutral","Dissatisfied"))</f>
        <v>Satisfied</v>
      </c>
      <c r="P102" s="24" t="s">
        <v>38</v>
      </c>
      <c r="Q102" s="24" t="s">
        <v>38</v>
      </c>
      <c r="R102" s="24" t="s">
        <v>40</v>
      </c>
      <c r="S102" s="24" t="s">
        <v>40</v>
      </c>
      <c r="T102" s="24" t="s">
        <v>40</v>
      </c>
      <c r="U102" s="24" t="s">
        <v>38</v>
      </c>
      <c r="V102" s="24" t="s">
        <v>38</v>
      </c>
    </row>
    <row r="103" customFormat="false" ht="15" hidden="false" customHeight="false" outlineLevel="0" collapsed="false">
      <c r="A103" s="23" t="s">
        <v>112</v>
      </c>
      <c r="B103" s="13" t="s">
        <v>55</v>
      </c>
      <c r="C103" s="13" t="s">
        <v>71</v>
      </c>
      <c r="D103" s="13" t="s">
        <v>63</v>
      </c>
      <c r="E103" s="13" t="s">
        <v>66</v>
      </c>
      <c r="F103" s="24" t="n">
        <v>5</v>
      </c>
      <c r="G103" s="24" t="n">
        <v>4</v>
      </c>
      <c r="H103" s="24" t="n">
        <v>2</v>
      </c>
      <c r="I103" s="24" t="n">
        <v>2</v>
      </c>
      <c r="J103" s="24" t="n">
        <v>3</v>
      </c>
      <c r="K103" s="24" t="n">
        <v>2</v>
      </c>
      <c r="L103" s="24" t="n">
        <v>4</v>
      </c>
      <c r="M103" s="24" t="n">
        <v>3</v>
      </c>
      <c r="N103" s="12" t="n">
        <f aca="false">ROUND(AVERAGE(F103:L103),2)</f>
        <v>3.14</v>
      </c>
      <c r="O103" s="13" t="str">
        <f aca="false">IF(M103&gt;=4,"Satisfied",IF(M103=3,"Neutral","Dissatisfied"))</f>
        <v>Neutral</v>
      </c>
      <c r="P103" s="24" t="s">
        <v>39</v>
      </c>
      <c r="Q103" s="24" t="s">
        <v>40</v>
      </c>
      <c r="R103" s="24" t="s">
        <v>38</v>
      </c>
      <c r="S103" s="24" t="s">
        <v>38</v>
      </c>
      <c r="T103" s="24" t="s">
        <v>40</v>
      </c>
      <c r="U103" s="24" t="s">
        <v>38</v>
      </c>
      <c r="V103" s="24" t="s">
        <v>40</v>
      </c>
    </row>
    <row r="104" customFormat="false" ht="15" hidden="false" customHeight="false" outlineLevel="0" collapsed="false">
      <c r="A104" s="23" t="s">
        <v>113</v>
      </c>
      <c r="B104" s="13" t="s">
        <v>56</v>
      </c>
      <c r="C104" s="13" t="s">
        <v>70</v>
      </c>
      <c r="D104" s="13" t="s">
        <v>61</v>
      </c>
      <c r="E104" s="13" t="s">
        <v>66</v>
      </c>
      <c r="F104" s="24" t="n">
        <v>4</v>
      </c>
      <c r="G104" s="24" t="n">
        <v>4</v>
      </c>
      <c r="H104" s="24" t="n">
        <v>4</v>
      </c>
      <c r="I104" s="24" t="n">
        <v>1</v>
      </c>
      <c r="J104" s="24" t="n">
        <v>2</v>
      </c>
      <c r="K104" s="24" t="n">
        <v>3</v>
      </c>
      <c r="L104" s="24" t="n">
        <v>2</v>
      </c>
      <c r="M104" s="24" t="n">
        <v>2</v>
      </c>
      <c r="N104" s="12" t="n">
        <f aca="false">ROUND(AVERAGE(F104:L104),2)</f>
        <v>2.86</v>
      </c>
      <c r="O104" s="13" t="str">
        <f aca="false">IF(M104&gt;=4,"Satisfied",IF(M104=3,"Neutral","Dissatisfied"))</f>
        <v>Dissatisfied</v>
      </c>
      <c r="P104" s="24" t="s">
        <v>40</v>
      </c>
      <c r="Q104" s="24" t="s">
        <v>38</v>
      </c>
      <c r="R104" s="24" t="s">
        <v>40</v>
      </c>
      <c r="S104" s="24" t="s">
        <v>38</v>
      </c>
      <c r="T104" s="24" t="s">
        <v>38</v>
      </c>
      <c r="U104" s="24" t="s">
        <v>40</v>
      </c>
      <c r="V104" s="24" t="s">
        <v>40</v>
      </c>
    </row>
    <row r="105" customFormat="false" ht="15" hidden="false" customHeight="false" outlineLevel="0" collapsed="false">
      <c r="A105" s="23" t="s">
        <v>114</v>
      </c>
      <c r="B105" s="13" t="s">
        <v>56</v>
      </c>
      <c r="C105" s="13" t="s">
        <v>71</v>
      </c>
      <c r="D105" s="13" t="s">
        <v>62</v>
      </c>
      <c r="E105" s="13" t="s">
        <v>67</v>
      </c>
      <c r="F105" s="24" t="n">
        <v>4</v>
      </c>
      <c r="G105" s="24" t="n">
        <v>2</v>
      </c>
      <c r="H105" s="24" t="n">
        <v>2</v>
      </c>
      <c r="I105" s="24" t="n">
        <v>3</v>
      </c>
      <c r="J105" s="24" t="n">
        <v>3</v>
      </c>
      <c r="K105" s="24" t="n">
        <v>3</v>
      </c>
      <c r="L105" s="24" t="n">
        <v>2</v>
      </c>
      <c r="M105" s="24" t="n">
        <v>1</v>
      </c>
      <c r="N105" s="12" t="n">
        <f aca="false">ROUND(AVERAGE(F105:L105),2)</f>
        <v>2.71</v>
      </c>
      <c r="O105" s="13" t="str">
        <f aca="false">IF(M105&gt;=4,"Satisfied",IF(M105=3,"Neutral","Dissatisfied"))</f>
        <v>Dissatisfied</v>
      </c>
      <c r="P105" s="24" t="s">
        <v>40</v>
      </c>
      <c r="Q105" s="24" t="s">
        <v>38</v>
      </c>
      <c r="R105" s="24" t="s">
        <v>38</v>
      </c>
      <c r="S105" s="24" t="s">
        <v>38</v>
      </c>
      <c r="T105" s="24" t="s">
        <v>38</v>
      </c>
      <c r="U105" s="24" t="s">
        <v>38</v>
      </c>
      <c r="V105" s="24" t="s">
        <v>40</v>
      </c>
    </row>
    <row r="106" customFormat="false" ht="15" hidden="false" customHeight="false" outlineLevel="0" collapsed="false">
      <c r="A106" s="23" t="s">
        <v>115</v>
      </c>
      <c r="B106" s="13" t="s">
        <v>56</v>
      </c>
      <c r="C106" s="13" t="s">
        <v>71</v>
      </c>
      <c r="D106" s="13" t="s">
        <v>62</v>
      </c>
      <c r="E106" s="13" t="s">
        <v>67</v>
      </c>
      <c r="F106" s="24" t="n">
        <v>5</v>
      </c>
      <c r="G106" s="24" t="n">
        <v>4</v>
      </c>
      <c r="H106" s="24" t="n">
        <v>5</v>
      </c>
      <c r="I106" s="24" t="n">
        <v>5</v>
      </c>
      <c r="J106" s="24" t="n">
        <v>2</v>
      </c>
      <c r="K106" s="24" t="n">
        <v>3</v>
      </c>
      <c r="L106" s="24" t="n">
        <v>3</v>
      </c>
      <c r="M106" s="24" t="n">
        <v>5</v>
      </c>
      <c r="N106" s="12" t="n">
        <f aca="false">ROUND(AVERAGE(F106:L106),2)</f>
        <v>3.86</v>
      </c>
      <c r="O106" s="13" t="str">
        <f aca="false">IF(M106&gt;=4,"Satisfied",IF(M106=3,"Neutral","Dissatisfied"))</f>
        <v>Satisfied</v>
      </c>
      <c r="P106" s="24" t="s">
        <v>38</v>
      </c>
      <c r="Q106" s="24" t="s">
        <v>38</v>
      </c>
      <c r="R106" s="24" t="s">
        <v>40</v>
      </c>
      <c r="S106" s="24" t="s">
        <v>40</v>
      </c>
      <c r="T106" s="24" t="s">
        <v>38</v>
      </c>
      <c r="U106" s="24" t="s">
        <v>40</v>
      </c>
      <c r="V106" s="24" t="s">
        <v>40</v>
      </c>
    </row>
    <row r="107" customFormat="false" ht="15" hidden="false" customHeight="false" outlineLevel="0" collapsed="false">
      <c r="A107" s="23" t="s">
        <v>116</v>
      </c>
      <c r="B107" s="13" t="s">
        <v>56</v>
      </c>
      <c r="C107" s="13" t="s">
        <v>71</v>
      </c>
      <c r="D107" s="13" t="s">
        <v>61</v>
      </c>
      <c r="E107" s="13" t="s">
        <v>66</v>
      </c>
      <c r="F107" s="24" t="n">
        <v>5</v>
      </c>
      <c r="G107" s="24" t="n">
        <v>5</v>
      </c>
      <c r="H107" s="24" t="n">
        <v>5</v>
      </c>
      <c r="I107" s="24" t="n">
        <v>5</v>
      </c>
      <c r="J107" s="24" t="n">
        <v>4</v>
      </c>
      <c r="K107" s="24" t="n">
        <v>4</v>
      </c>
      <c r="L107" s="24" t="n">
        <v>2</v>
      </c>
      <c r="M107" s="24" t="n">
        <v>5</v>
      </c>
      <c r="N107" s="12" t="n">
        <f aca="false">ROUND(AVERAGE(F107:L107),2)</f>
        <v>4.29</v>
      </c>
      <c r="O107" s="13" t="str">
        <f aca="false">IF(M107&gt;=4,"Satisfied",IF(M107=3,"Neutral","Dissatisfied"))</f>
        <v>Satisfied</v>
      </c>
      <c r="P107" s="24" t="s">
        <v>38</v>
      </c>
      <c r="Q107" s="24" t="s">
        <v>40</v>
      </c>
      <c r="R107" s="24" t="s">
        <v>40</v>
      </c>
      <c r="S107" s="24" t="s">
        <v>40</v>
      </c>
      <c r="T107" s="24" t="s">
        <v>38</v>
      </c>
      <c r="U107" s="24" t="s">
        <v>40</v>
      </c>
      <c r="V107" s="24" t="s">
        <v>40</v>
      </c>
    </row>
    <row r="108" customFormat="false" ht="15" hidden="false" customHeight="false" outlineLevel="0" collapsed="false">
      <c r="A108" s="23" t="s">
        <v>117</v>
      </c>
      <c r="B108" s="13" t="s">
        <v>56</v>
      </c>
      <c r="C108" s="13" t="s">
        <v>70</v>
      </c>
      <c r="D108" s="13" t="s">
        <v>62</v>
      </c>
      <c r="E108" s="13" t="s">
        <v>66</v>
      </c>
      <c r="F108" s="24" t="n">
        <v>5</v>
      </c>
      <c r="G108" s="24" t="n">
        <v>5</v>
      </c>
      <c r="H108" s="24" t="n">
        <v>4</v>
      </c>
      <c r="I108" s="24" t="n">
        <v>5</v>
      </c>
      <c r="J108" s="24" t="n">
        <v>3</v>
      </c>
      <c r="K108" s="24" t="n">
        <v>3</v>
      </c>
      <c r="L108" s="24" t="n">
        <v>3</v>
      </c>
      <c r="M108" s="24" t="n">
        <v>5</v>
      </c>
      <c r="N108" s="12" t="n">
        <f aca="false">ROUND(AVERAGE(F108:L108),2)</f>
        <v>4</v>
      </c>
      <c r="O108" s="13" t="str">
        <f aca="false">IF(M108&gt;=4,"Satisfied",IF(M108=3,"Neutral","Dissatisfied"))</f>
        <v>Satisfied</v>
      </c>
      <c r="P108" s="24" t="s">
        <v>38</v>
      </c>
      <c r="Q108" s="24" t="s">
        <v>38</v>
      </c>
      <c r="R108" s="24" t="s">
        <v>40</v>
      </c>
      <c r="S108" s="24" t="s">
        <v>40</v>
      </c>
      <c r="T108" s="24" t="s">
        <v>40</v>
      </c>
      <c r="U108" s="24" t="s">
        <v>40</v>
      </c>
      <c r="V108" s="24" t="s">
        <v>40</v>
      </c>
    </row>
    <row r="109" customFormat="false" ht="15" hidden="false" customHeight="false" outlineLevel="0" collapsed="false">
      <c r="A109" s="23" t="s">
        <v>118</v>
      </c>
      <c r="B109" s="13" t="s">
        <v>56</v>
      </c>
      <c r="C109" s="13" t="s">
        <v>70</v>
      </c>
      <c r="D109" s="13" t="s">
        <v>63</v>
      </c>
      <c r="E109" s="13" t="s">
        <v>65</v>
      </c>
      <c r="F109" s="24" t="n">
        <v>5</v>
      </c>
      <c r="G109" s="24" t="n">
        <v>4</v>
      </c>
      <c r="H109" s="24" t="n">
        <v>3</v>
      </c>
      <c r="I109" s="24" t="n">
        <v>5</v>
      </c>
      <c r="J109" s="24" t="n">
        <v>3</v>
      </c>
      <c r="K109" s="24" t="n">
        <v>2</v>
      </c>
      <c r="L109" s="24" t="n">
        <v>4</v>
      </c>
      <c r="M109" s="24" t="n">
        <v>5</v>
      </c>
      <c r="N109" s="12" t="n">
        <f aca="false">ROUND(AVERAGE(F109:L109),2)</f>
        <v>3.71</v>
      </c>
      <c r="O109" s="13" t="str">
        <f aca="false">IF(M109&gt;=4,"Satisfied",IF(M109=3,"Neutral","Dissatisfied"))</f>
        <v>Satisfied</v>
      </c>
      <c r="P109" s="24" t="s">
        <v>38</v>
      </c>
      <c r="Q109" s="24" t="s">
        <v>38</v>
      </c>
      <c r="R109" s="24" t="s">
        <v>38</v>
      </c>
      <c r="S109" s="24" t="s">
        <v>40</v>
      </c>
      <c r="T109" s="24" t="s">
        <v>40</v>
      </c>
      <c r="U109" s="24" t="s">
        <v>40</v>
      </c>
      <c r="V109" s="24" t="s">
        <v>40</v>
      </c>
    </row>
    <row r="110" customFormat="false" ht="15" hidden="false" customHeight="false" outlineLevel="0" collapsed="false">
      <c r="A110" s="23" t="s">
        <v>119</v>
      </c>
      <c r="B110" s="13" t="s">
        <v>56</v>
      </c>
      <c r="C110" s="13" t="s">
        <v>71</v>
      </c>
      <c r="D110" s="13" t="s">
        <v>61</v>
      </c>
      <c r="E110" s="13" t="s">
        <v>68</v>
      </c>
      <c r="F110" s="24" t="n">
        <v>5</v>
      </c>
      <c r="G110" s="24" t="n">
        <v>5</v>
      </c>
      <c r="H110" s="24" t="n">
        <v>3</v>
      </c>
      <c r="I110" s="24" t="n">
        <v>4</v>
      </c>
      <c r="J110" s="24" t="n">
        <v>5</v>
      </c>
      <c r="K110" s="24" t="n">
        <v>4</v>
      </c>
      <c r="L110" s="24" t="n">
        <v>4</v>
      </c>
      <c r="M110" s="24" t="n">
        <v>5</v>
      </c>
      <c r="N110" s="12" t="n">
        <f aca="false">ROUND(AVERAGE(F110:L110),2)</f>
        <v>4.29</v>
      </c>
      <c r="O110" s="13" t="str">
        <f aca="false">IF(M110&gt;=4,"Satisfied",IF(M110=3,"Neutral","Dissatisfied"))</f>
        <v>Satisfied</v>
      </c>
      <c r="P110" s="24" t="s">
        <v>38</v>
      </c>
      <c r="Q110" s="24" t="s">
        <v>40</v>
      </c>
      <c r="R110" s="24" t="s">
        <v>40</v>
      </c>
      <c r="S110" s="24" t="s">
        <v>40</v>
      </c>
      <c r="T110" s="24" t="s">
        <v>40</v>
      </c>
      <c r="U110" s="24" t="s">
        <v>38</v>
      </c>
      <c r="V110" s="24" t="s">
        <v>40</v>
      </c>
    </row>
    <row r="111" customFormat="false" ht="15" hidden="false" customHeight="false" outlineLevel="0" collapsed="false">
      <c r="A111" s="23" t="s">
        <v>120</v>
      </c>
      <c r="B111" s="13" t="s">
        <v>56</v>
      </c>
      <c r="C111" s="13" t="s">
        <v>71</v>
      </c>
      <c r="D111" s="13" t="s">
        <v>62</v>
      </c>
      <c r="E111" s="13" t="s">
        <v>68</v>
      </c>
      <c r="F111" s="24" t="n">
        <v>5</v>
      </c>
      <c r="G111" s="24" t="n">
        <v>4</v>
      </c>
      <c r="H111" s="24" t="n">
        <v>4</v>
      </c>
      <c r="I111" s="24" t="n">
        <v>2</v>
      </c>
      <c r="J111" s="24" t="n">
        <v>3</v>
      </c>
      <c r="K111" s="24" t="n">
        <v>3</v>
      </c>
      <c r="L111" s="24" t="n">
        <v>4</v>
      </c>
      <c r="M111" s="24" t="n">
        <v>5</v>
      </c>
      <c r="N111" s="12" t="n">
        <f aca="false">ROUND(AVERAGE(F111:L111),2)</f>
        <v>3.57</v>
      </c>
      <c r="O111" s="13" t="str">
        <f aca="false">IF(M111&gt;=4,"Satisfied",IF(M111=3,"Neutral","Dissatisfied"))</f>
        <v>Satisfied</v>
      </c>
      <c r="P111" s="24" t="s">
        <v>38</v>
      </c>
      <c r="Q111" s="24" t="s">
        <v>38</v>
      </c>
      <c r="R111" s="24" t="s">
        <v>38</v>
      </c>
      <c r="S111" s="24" t="s">
        <v>38</v>
      </c>
      <c r="T111" s="24" t="s">
        <v>40</v>
      </c>
      <c r="U111" s="24" t="s">
        <v>40</v>
      </c>
      <c r="V111" s="24" t="s">
        <v>40</v>
      </c>
    </row>
    <row r="112" customFormat="false" ht="15" hidden="false" customHeight="false" outlineLevel="0" collapsed="false">
      <c r="A112" s="23" t="s">
        <v>121</v>
      </c>
      <c r="B112" s="13" t="s">
        <v>58</v>
      </c>
      <c r="C112" s="13" t="s">
        <v>71</v>
      </c>
      <c r="D112" s="13" t="s">
        <v>63</v>
      </c>
      <c r="E112" s="13" t="s">
        <v>65</v>
      </c>
      <c r="F112" s="24" t="n">
        <v>2</v>
      </c>
      <c r="G112" s="24" t="n">
        <v>5</v>
      </c>
      <c r="H112" s="24" t="n">
        <v>2</v>
      </c>
      <c r="I112" s="24" t="n">
        <v>3</v>
      </c>
      <c r="J112" s="24" t="n">
        <v>3</v>
      </c>
      <c r="K112" s="24" t="n">
        <v>2</v>
      </c>
      <c r="L112" s="24" t="n">
        <v>3</v>
      </c>
      <c r="M112" s="24" t="n">
        <v>1</v>
      </c>
      <c r="N112" s="12" t="n">
        <f aca="false">ROUND(AVERAGE(F112:L112),2)</f>
        <v>2.86</v>
      </c>
      <c r="O112" s="13" t="str">
        <f aca="false">IF(M112&gt;=4,"Satisfied",IF(M112=3,"Neutral","Dissatisfied"))</f>
        <v>Dissatisfied</v>
      </c>
      <c r="P112" s="24" t="s">
        <v>40</v>
      </c>
      <c r="Q112" s="24" t="s">
        <v>38</v>
      </c>
      <c r="R112" s="24" t="s">
        <v>38</v>
      </c>
      <c r="S112" s="24" t="s">
        <v>38</v>
      </c>
      <c r="T112" s="24" t="s">
        <v>40</v>
      </c>
      <c r="U112" s="24" t="s">
        <v>38</v>
      </c>
      <c r="V112" s="24" t="s">
        <v>38</v>
      </c>
    </row>
    <row r="113" customFormat="false" ht="15" hidden="false" customHeight="false" outlineLevel="0" collapsed="false">
      <c r="A113" s="23" t="s">
        <v>122</v>
      </c>
      <c r="B113" s="13" t="s">
        <v>56</v>
      </c>
      <c r="C113" s="13" t="s">
        <v>70</v>
      </c>
      <c r="D113" s="13" t="s">
        <v>61</v>
      </c>
      <c r="E113" s="13" t="s">
        <v>65</v>
      </c>
      <c r="F113" s="24" t="n">
        <v>5</v>
      </c>
      <c r="G113" s="24" t="n">
        <v>5</v>
      </c>
      <c r="H113" s="24" t="n">
        <v>3</v>
      </c>
      <c r="I113" s="24" t="n">
        <v>4</v>
      </c>
      <c r="J113" s="24" t="n">
        <v>3</v>
      </c>
      <c r="K113" s="24" t="n">
        <v>3</v>
      </c>
      <c r="L113" s="24" t="n">
        <v>4</v>
      </c>
      <c r="M113" s="24" t="n">
        <v>5</v>
      </c>
      <c r="N113" s="12" t="n">
        <f aca="false">ROUND(AVERAGE(F113:L113),2)</f>
        <v>3.86</v>
      </c>
      <c r="O113" s="13" t="str">
        <f aca="false">IF(M113&gt;=4,"Satisfied",IF(M113=3,"Neutral","Dissatisfied"))</f>
        <v>Satisfied</v>
      </c>
      <c r="P113" s="24" t="s">
        <v>38</v>
      </c>
      <c r="Q113" s="24" t="s">
        <v>38</v>
      </c>
      <c r="R113" s="24" t="s">
        <v>40</v>
      </c>
      <c r="S113" s="24" t="s">
        <v>40</v>
      </c>
      <c r="T113" s="24" t="s">
        <v>40</v>
      </c>
      <c r="U113" s="24" t="s">
        <v>38</v>
      </c>
      <c r="V113" s="24" t="s">
        <v>40</v>
      </c>
    </row>
    <row r="114" customFormat="false" ht="15" hidden="false" customHeight="false" outlineLevel="0" collapsed="false">
      <c r="A114" s="23" t="s">
        <v>123</v>
      </c>
      <c r="B114" s="13" t="s">
        <v>56</v>
      </c>
      <c r="C114" s="13" t="s">
        <v>70</v>
      </c>
      <c r="D114" s="13" t="s">
        <v>60</v>
      </c>
      <c r="E114" s="13" t="s">
        <v>65</v>
      </c>
      <c r="F114" s="24" t="n">
        <v>3</v>
      </c>
      <c r="G114" s="24" t="n">
        <v>2</v>
      </c>
      <c r="H114" s="24" t="n">
        <v>4</v>
      </c>
      <c r="I114" s="24" t="n">
        <v>4</v>
      </c>
      <c r="J114" s="24" t="n">
        <v>5</v>
      </c>
      <c r="K114" s="24" t="n">
        <v>3</v>
      </c>
      <c r="L114" s="24" t="n">
        <v>5</v>
      </c>
      <c r="M114" s="24" t="n">
        <v>5</v>
      </c>
      <c r="N114" s="12" t="n">
        <f aca="false">ROUND(AVERAGE(F114:L114),2)</f>
        <v>3.71</v>
      </c>
      <c r="O114" s="13" t="str">
        <f aca="false">IF(M114&gt;=4,"Satisfied",IF(M114=3,"Neutral","Dissatisfied"))</f>
        <v>Satisfied</v>
      </c>
      <c r="P114" s="24" t="s">
        <v>38</v>
      </c>
      <c r="Q114" s="24" t="s">
        <v>40</v>
      </c>
      <c r="R114" s="24" t="s">
        <v>40</v>
      </c>
      <c r="S114" s="24" t="s">
        <v>40</v>
      </c>
      <c r="T114" s="24" t="s">
        <v>40</v>
      </c>
      <c r="U114" s="24" t="s">
        <v>40</v>
      </c>
      <c r="V114" s="24" t="s">
        <v>40</v>
      </c>
    </row>
    <row r="115" customFormat="false" ht="15" hidden="false" customHeight="false" outlineLevel="0" collapsed="false">
      <c r="A115" s="23" t="s">
        <v>124</v>
      </c>
      <c r="B115" s="13" t="s">
        <v>56</v>
      </c>
      <c r="C115" s="13" t="s">
        <v>70</v>
      </c>
      <c r="D115" s="13" t="s">
        <v>62</v>
      </c>
      <c r="E115" s="13" t="s">
        <v>67</v>
      </c>
      <c r="F115" s="24" t="n">
        <v>4</v>
      </c>
      <c r="G115" s="24" t="n">
        <v>3</v>
      </c>
      <c r="H115" s="24" t="n">
        <v>3</v>
      </c>
      <c r="I115" s="24" t="n">
        <v>4</v>
      </c>
      <c r="J115" s="24" t="n">
        <v>3</v>
      </c>
      <c r="K115" s="24" t="n">
        <v>2</v>
      </c>
      <c r="L115" s="24" t="n">
        <v>3</v>
      </c>
      <c r="M115" s="24" t="n">
        <v>3</v>
      </c>
      <c r="N115" s="12" t="n">
        <f aca="false">ROUND(AVERAGE(F115:L115),2)</f>
        <v>3.14</v>
      </c>
      <c r="O115" s="13" t="str">
        <f aca="false">IF(M115&gt;=4,"Satisfied",IF(M115=3,"Neutral","Dissatisfied"))</f>
        <v>Neutral</v>
      </c>
      <c r="P115" s="24" t="s">
        <v>39</v>
      </c>
      <c r="Q115" s="24" t="s">
        <v>38</v>
      </c>
      <c r="R115" s="24" t="s">
        <v>38</v>
      </c>
      <c r="S115" s="24" t="s">
        <v>40</v>
      </c>
      <c r="T115" s="24" t="s">
        <v>40</v>
      </c>
      <c r="U115" s="24" t="s">
        <v>40</v>
      </c>
      <c r="V115" s="24" t="s">
        <v>40</v>
      </c>
    </row>
    <row r="116" customFormat="false" ht="15" hidden="false" customHeight="false" outlineLevel="0" collapsed="false">
      <c r="A116" s="23" t="s">
        <v>125</v>
      </c>
      <c r="B116" s="13" t="s">
        <v>56</v>
      </c>
      <c r="C116" s="13" t="s">
        <v>70</v>
      </c>
      <c r="D116" s="13" t="s">
        <v>60</v>
      </c>
      <c r="E116" s="13" t="s">
        <v>66</v>
      </c>
      <c r="F116" s="24" t="n">
        <v>4</v>
      </c>
      <c r="G116" s="24" t="n">
        <v>4</v>
      </c>
      <c r="H116" s="24" t="n">
        <v>4</v>
      </c>
      <c r="I116" s="24" t="n">
        <v>4</v>
      </c>
      <c r="J116" s="24" t="n">
        <v>4</v>
      </c>
      <c r="K116" s="24" t="n">
        <v>3</v>
      </c>
      <c r="L116" s="24" t="n">
        <v>3</v>
      </c>
      <c r="M116" s="24" t="n">
        <v>5</v>
      </c>
      <c r="N116" s="12" t="n">
        <f aca="false">ROUND(AVERAGE(F116:L116),2)</f>
        <v>3.71</v>
      </c>
      <c r="O116" s="13" t="str">
        <f aca="false">IF(M116&gt;=4,"Satisfied",IF(M116=3,"Neutral","Dissatisfied"))</f>
        <v>Satisfied</v>
      </c>
      <c r="P116" s="24" t="s">
        <v>38</v>
      </c>
      <c r="Q116" s="24" t="s">
        <v>38</v>
      </c>
      <c r="R116" s="24" t="s">
        <v>40</v>
      </c>
      <c r="S116" s="24" t="s">
        <v>40</v>
      </c>
      <c r="T116" s="24" t="s">
        <v>38</v>
      </c>
      <c r="U116" s="24" t="s">
        <v>40</v>
      </c>
      <c r="V116" s="24" t="s">
        <v>40</v>
      </c>
    </row>
    <row r="117" customFormat="false" ht="15" hidden="false" customHeight="false" outlineLevel="0" collapsed="false">
      <c r="A117" s="23" t="s">
        <v>126</v>
      </c>
      <c r="B117" s="13" t="s">
        <v>56</v>
      </c>
      <c r="C117" s="13" t="s">
        <v>70</v>
      </c>
      <c r="D117" s="13" t="s">
        <v>62</v>
      </c>
      <c r="E117" s="13" t="s">
        <v>65</v>
      </c>
      <c r="F117" s="24" t="n">
        <v>5</v>
      </c>
      <c r="G117" s="24" t="n">
        <v>3</v>
      </c>
      <c r="H117" s="24" t="n">
        <v>3</v>
      </c>
      <c r="I117" s="24" t="n">
        <v>2</v>
      </c>
      <c r="J117" s="24" t="n">
        <v>3</v>
      </c>
      <c r="K117" s="24" t="n">
        <v>3</v>
      </c>
      <c r="L117" s="24" t="n">
        <v>4</v>
      </c>
      <c r="M117" s="24" t="n">
        <v>4</v>
      </c>
      <c r="N117" s="12" t="n">
        <f aca="false">ROUND(AVERAGE(F117:L117),2)</f>
        <v>3.29</v>
      </c>
      <c r="O117" s="13" t="str">
        <f aca="false">IF(M117&gt;=4,"Satisfied",IF(M117=3,"Neutral","Dissatisfied"))</f>
        <v>Satisfied</v>
      </c>
      <c r="P117" s="24" t="s">
        <v>39</v>
      </c>
      <c r="Q117" s="24" t="s">
        <v>38</v>
      </c>
      <c r="R117" s="24" t="s">
        <v>38</v>
      </c>
      <c r="S117" s="24" t="s">
        <v>38</v>
      </c>
      <c r="T117" s="24" t="s">
        <v>40</v>
      </c>
      <c r="U117" s="24" t="s">
        <v>40</v>
      </c>
      <c r="V117" s="24" t="s">
        <v>40</v>
      </c>
    </row>
    <row r="118" customFormat="false" ht="15" hidden="false" customHeight="false" outlineLevel="0" collapsed="false">
      <c r="A118" s="23" t="s">
        <v>127</v>
      </c>
      <c r="B118" s="13" t="s">
        <v>56</v>
      </c>
      <c r="C118" s="13" t="s">
        <v>70</v>
      </c>
      <c r="D118" s="13" t="s">
        <v>61</v>
      </c>
      <c r="E118" s="13" t="s">
        <v>66</v>
      </c>
      <c r="F118" s="24" t="n">
        <v>5</v>
      </c>
      <c r="G118" s="24" t="n">
        <v>4</v>
      </c>
      <c r="H118" s="24" t="n">
        <v>3</v>
      </c>
      <c r="I118" s="24" t="n">
        <v>3</v>
      </c>
      <c r="J118" s="24" t="n">
        <v>3</v>
      </c>
      <c r="K118" s="24" t="n">
        <v>2</v>
      </c>
      <c r="L118" s="24" t="n">
        <v>3</v>
      </c>
      <c r="M118" s="24" t="n">
        <v>3</v>
      </c>
      <c r="N118" s="12" t="n">
        <f aca="false">ROUND(AVERAGE(F118:L118),2)</f>
        <v>3.29</v>
      </c>
      <c r="O118" s="13" t="str">
        <f aca="false">IF(M118&gt;=4,"Satisfied",IF(M118=3,"Neutral","Dissatisfied"))</f>
        <v>Neutral</v>
      </c>
      <c r="P118" s="24" t="s">
        <v>39</v>
      </c>
      <c r="Q118" s="24" t="s">
        <v>40</v>
      </c>
      <c r="R118" s="24" t="s">
        <v>38</v>
      </c>
      <c r="S118" s="24" t="s">
        <v>38</v>
      </c>
      <c r="T118" s="24" t="s">
        <v>40</v>
      </c>
      <c r="U118" s="24" t="s">
        <v>40</v>
      </c>
      <c r="V118" s="24" t="s">
        <v>40</v>
      </c>
    </row>
    <row r="119" customFormat="false" ht="15" hidden="false" customHeight="false" outlineLevel="0" collapsed="false">
      <c r="A119" s="23" t="s">
        <v>128</v>
      </c>
      <c r="B119" s="13" t="s">
        <v>56</v>
      </c>
      <c r="C119" s="13" t="s">
        <v>71</v>
      </c>
      <c r="D119" s="13" t="s">
        <v>63</v>
      </c>
      <c r="E119" s="13" t="s">
        <v>66</v>
      </c>
      <c r="F119" s="24" t="n">
        <v>4</v>
      </c>
      <c r="G119" s="24" t="n">
        <v>3</v>
      </c>
      <c r="H119" s="24" t="n">
        <v>4</v>
      </c>
      <c r="I119" s="24" t="n">
        <v>5</v>
      </c>
      <c r="J119" s="24" t="n">
        <v>3</v>
      </c>
      <c r="K119" s="24" t="n">
        <v>2</v>
      </c>
      <c r="L119" s="24" t="n">
        <v>3</v>
      </c>
      <c r="M119" s="24" t="n">
        <v>4</v>
      </c>
      <c r="N119" s="12" t="n">
        <f aca="false">ROUND(AVERAGE(F119:L119),2)</f>
        <v>3.43</v>
      </c>
      <c r="O119" s="13" t="str">
        <f aca="false">IF(M119&gt;=4,"Satisfied",IF(M119=3,"Neutral","Dissatisfied"))</f>
        <v>Satisfied</v>
      </c>
      <c r="P119" s="24" t="s">
        <v>38</v>
      </c>
      <c r="Q119" s="24" t="s">
        <v>38</v>
      </c>
      <c r="R119" s="24" t="s">
        <v>38</v>
      </c>
      <c r="S119" s="24" t="s">
        <v>40</v>
      </c>
      <c r="T119" s="24" t="s">
        <v>40</v>
      </c>
      <c r="U119" s="24" t="s">
        <v>40</v>
      </c>
      <c r="V119" s="24" t="s">
        <v>40</v>
      </c>
    </row>
    <row r="120" customFormat="false" ht="15" hidden="false" customHeight="false" outlineLevel="0" collapsed="false">
      <c r="A120" s="23" t="s">
        <v>129</v>
      </c>
      <c r="B120" s="13" t="s">
        <v>55</v>
      </c>
      <c r="C120" s="13" t="s">
        <v>70</v>
      </c>
      <c r="D120" s="13" t="s">
        <v>62</v>
      </c>
      <c r="E120" s="13" t="s">
        <v>66</v>
      </c>
      <c r="F120" s="24" t="n">
        <v>5</v>
      </c>
      <c r="G120" s="24" t="n">
        <v>4</v>
      </c>
      <c r="H120" s="24" t="n">
        <v>3</v>
      </c>
      <c r="I120" s="24" t="n">
        <v>4</v>
      </c>
      <c r="J120" s="24" t="n">
        <v>2</v>
      </c>
      <c r="K120" s="24" t="n">
        <v>4</v>
      </c>
      <c r="L120" s="24" t="n">
        <v>2</v>
      </c>
      <c r="M120" s="24" t="n">
        <v>4</v>
      </c>
      <c r="N120" s="12" t="n">
        <f aca="false">ROUND(AVERAGE(F120:L120),2)</f>
        <v>3.43</v>
      </c>
      <c r="O120" s="13" t="str">
        <f aca="false">IF(M120&gt;=4,"Satisfied",IF(M120=3,"Neutral","Dissatisfied"))</f>
        <v>Satisfied</v>
      </c>
      <c r="P120" s="24" t="s">
        <v>39</v>
      </c>
      <c r="Q120" s="24" t="s">
        <v>38</v>
      </c>
      <c r="R120" s="24" t="s">
        <v>40</v>
      </c>
      <c r="S120" s="24" t="s">
        <v>40</v>
      </c>
      <c r="T120" s="24" t="s">
        <v>38</v>
      </c>
      <c r="U120" s="24" t="s">
        <v>38</v>
      </c>
      <c r="V120" s="24" t="s">
        <v>40</v>
      </c>
    </row>
    <row r="121" customFormat="false" ht="15" hidden="false" customHeight="false" outlineLevel="0" collapsed="false">
      <c r="A121" s="23" t="s">
        <v>130</v>
      </c>
      <c r="B121" s="13" t="s">
        <v>56</v>
      </c>
      <c r="C121" s="13" t="s">
        <v>70</v>
      </c>
      <c r="D121" s="13" t="s">
        <v>61</v>
      </c>
      <c r="E121" s="13" t="s">
        <v>67</v>
      </c>
      <c r="F121" s="24" t="n">
        <v>4</v>
      </c>
      <c r="G121" s="24" t="n">
        <v>3</v>
      </c>
      <c r="H121" s="24" t="n">
        <v>2</v>
      </c>
      <c r="I121" s="24" t="n">
        <v>3</v>
      </c>
      <c r="J121" s="24" t="n">
        <v>5</v>
      </c>
      <c r="K121" s="24" t="n">
        <v>2</v>
      </c>
      <c r="L121" s="24" t="n">
        <v>4</v>
      </c>
      <c r="M121" s="24" t="n">
        <v>4</v>
      </c>
      <c r="N121" s="12" t="n">
        <f aca="false">ROUND(AVERAGE(F121:L121),2)</f>
        <v>3.29</v>
      </c>
      <c r="O121" s="13" t="str">
        <f aca="false">IF(M121&gt;=4,"Satisfied",IF(M121=3,"Neutral","Dissatisfied"))</f>
        <v>Satisfied</v>
      </c>
      <c r="P121" s="24" t="s">
        <v>39</v>
      </c>
      <c r="Q121" s="24" t="s">
        <v>40</v>
      </c>
      <c r="R121" s="24" t="s">
        <v>38</v>
      </c>
      <c r="S121" s="24" t="s">
        <v>38</v>
      </c>
      <c r="T121" s="24" t="s">
        <v>40</v>
      </c>
      <c r="U121" s="24" t="s">
        <v>38</v>
      </c>
      <c r="V121" s="24" t="s">
        <v>40</v>
      </c>
    </row>
    <row r="122" customFormat="false" ht="15" hidden="false" customHeight="false" outlineLevel="0" collapsed="false">
      <c r="A122" s="23" t="s">
        <v>131</v>
      </c>
      <c r="B122" s="13" t="s">
        <v>57</v>
      </c>
      <c r="C122" s="13" t="s">
        <v>71</v>
      </c>
      <c r="D122" s="13" t="s">
        <v>61</v>
      </c>
      <c r="E122" s="13" t="s">
        <v>67</v>
      </c>
      <c r="F122" s="24" t="n">
        <v>5</v>
      </c>
      <c r="G122" s="24" t="n">
        <v>5</v>
      </c>
      <c r="H122" s="24" t="n">
        <v>4</v>
      </c>
      <c r="I122" s="24" t="n">
        <v>3</v>
      </c>
      <c r="J122" s="24" t="n">
        <v>3</v>
      </c>
      <c r="K122" s="24" t="n">
        <v>4</v>
      </c>
      <c r="L122" s="24" t="n">
        <v>3</v>
      </c>
      <c r="M122" s="24" t="n">
        <v>5</v>
      </c>
      <c r="N122" s="12" t="n">
        <f aca="false">ROUND(AVERAGE(F122:L122),2)</f>
        <v>3.86</v>
      </c>
      <c r="O122" s="13" t="str">
        <f aca="false">IF(M122&gt;=4,"Satisfied",IF(M122=3,"Neutral","Dissatisfied"))</f>
        <v>Satisfied</v>
      </c>
      <c r="P122" s="24" t="s">
        <v>38</v>
      </c>
      <c r="Q122" s="24" t="s">
        <v>40</v>
      </c>
      <c r="R122" s="24" t="s">
        <v>40</v>
      </c>
      <c r="S122" s="24" t="s">
        <v>40</v>
      </c>
      <c r="T122" s="24" t="s">
        <v>38</v>
      </c>
      <c r="U122" s="24" t="s">
        <v>40</v>
      </c>
      <c r="V122" s="24" t="s">
        <v>40</v>
      </c>
    </row>
    <row r="123" customFormat="false" ht="15" hidden="false" customHeight="false" outlineLevel="0" collapsed="false">
      <c r="A123" s="23" t="s">
        <v>132</v>
      </c>
      <c r="B123" s="13" t="s">
        <v>56</v>
      </c>
      <c r="C123" s="13" t="s">
        <v>71</v>
      </c>
      <c r="D123" s="13" t="s">
        <v>60</v>
      </c>
      <c r="E123" s="13" t="s">
        <v>65</v>
      </c>
      <c r="F123" s="24" t="n">
        <v>4</v>
      </c>
      <c r="G123" s="24" t="n">
        <v>2</v>
      </c>
      <c r="H123" s="24" t="n">
        <v>3</v>
      </c>
      <c r="I123" s="24" t="n">
        <v>5</v>
      </c>
      <c r="J123" s="24" t="n">
        <v>2</v>
      </c>
      <c r="K123" s="24" t="n">
        <v>3</v>
      </c>
      <c r="L123" s="24" t="n">
        <v>4</v>
      </c>
      <c r="M123" s="24" t="n">
        <v>3</v>
      </c>
      <c r="N123" s="12" t="n">
        <f aca="false">ROUND(AVERAGE(F123:L123),2)</f>
        <v>3.29</v>
      </c>
      <c r="O123" s="13" t="str">
        <f aca="false">IF(M123&gt;=4,"Satisfied",IF(M123=3,"Neutral","Dissatisfied"))</f>
        <v>Neutral</v>
      </c>
      <c r="P123" s="24" t="s">
        <v>39</v>
      </c>
      <c r="Q123" s="24" t="s">
        <v>38</v>
      </c>
      <c r="R123" s="24" t="s">
        <v>40</v>
      </c>
      <c r="S123" s="24" t="s">
        <v>40</v>
      </c>
      <c r="T123" s="24" t="s">
        <v>40</v>
      </c>
      <c r="U123" s="24" t="s">
        <v>40</v>
      </c>
      <c r="V123" s="24" t="s">
        <v>40</v>
      </c>
    </row>
    <row r="124" customFormat="false" ht="15" hidden="false" customHeight="false" outlineLevel="0" collapsed="false">
      <c r="A124" s="23" t="s">
        <v>133</v>
      </c>
      <c r="B124" s="13" t="s">
        <v>57</v>
      </c>
      <c r="C124" s="13" t="s">
        <v>70</v>
      </c>
      <c r="D124" s="13" t="s">
        <v>60</v>
      </c>
      <c r="E124" s="13" t="s">
        <v>66</v>
      </c>
      <c r="F124" s="24" t="n">
        <v>5</v>
      </c>
      <c r="G124" s="24" t="n">
        <v>1</v>
      </c>
      <c r="H124" s="24" t="n">
        <v>4</v>
      </c>
      <c r="I124" s="24" t="n">
        <v>3</v>
      </c>
      <c r="J124" s="24" t="n">
        <v>3</v>
      </c>
      <c r="K124" s="24" t="n">
        <v>3</v>
      </c>
      <c r="L124" s="24" t="n">
        <v>2</v>
      </c>
      <c r="M124" s="24" t="n">
        <v>3</v>
      </c>
      <c r="N124" s="12" t="n">
        <f aca="false">ROUND(AVERAGE(F124:L124),2)</f>
        <v>3</v>
      </c>
      <c r="O124" s="13" t="str">
        <f aca="false">IF(M124&gt;=4,"Satisfied",IF(M124=3,"Neutral","Dissatisfied"))</f>
        <v>Neutral</v>
      </c>
      <c r="P124" s="24" t="s">
        <v>39</v>
      </c>
      <c r="Q124" s="24" t="s">
        <v>40</v>
      </c>
      <c r="R124" s="24" t="s">
        <v>38</v>
      </c>
      <c r="S124" s="24" t="s">
        <v>40</v>
      </c>
      <c r="T124" s="24" t="s">
        <v>38</v>
      </c>
      <c r="U124" s="24" t="s">
        <v>40</v>
      </c>
      <c r="V124" s="24" t="s">
        <v>40</v>
      </c>
    </row>
    <row r="125" customFormat="false" ht="15" hidden="false" customHeight="false" outlineLevel="0" collapsed="false">
      <c r="A125" s="23" t="s">
        <v>134</v>
      </c>
      <c r="B125" s="13" t="s">
        <v>56</v>
      </c>
      <c r="C125" s="13" t="s">
        <v>71</v>
      </c>
      <c r="D125" s="13" t="s">
        <v>62</v>
      </c>
      <c r="E125" s="13" t="s">
        <v>66</v>
      </c>
      <c r="F125" s="24" t="n">
        <v>3</v>
      </c>
      <c r="G125" s="24" t="n">
        <v>4</v>
      </c>
      <c r="H125" s="24" t="n">
        <v>4</v>
      </c>
      <c r="I125" s="24" t="n">
        <v>3</v>
      </c>
      <c r="J125" s="24" t="n">
        <v>3</v>
      </c>
      <c r="K125" s="24" t="n">
        <v>4</v>
      </c>
      <c r="L125" s="24" t="n">
        <v>2</v>
      </c>
      <c r="M125" s="24" t="n">
        <v>3</v>
      </c>
      <c r="N125" s="12" t="n">
        <f aca="false">ROUND(AVERAGE(F125:L125),2)</f>
        <v>3.29</v>
      </c>
      <c r="O125" s="13" t="str">
        <f aca="false">IF(M125&gt;=4,"Satisfied",IF(M125=3,"Neutral","Dissatisfied"))</f>
        <v>Neutral</v>
      </c>
      <c r="P125" s="24" t="s">
        <v>39</v>
      </c>
      <c r="Q125" s="24" t="s">
        <v>40</v>
      </c>
      <c r="R125" s="24" t="s">
        <v>40</v>
      </c>
      <c r="S125" s="24" t="s">
        <v>38</v>
      </c>
      <c r="T125" s="24" t="s">
        <v>38</v>
      </c>
      <c r="U125" s="24" t="s">
        <v>40</v>
      </c>
      <c r="V125" s="24" t="s">
        <v>40</v>
      </c>
    </row>
    <row r="126" customFormat="false" ht="15" hidden="false" customHeight="false" outlineLevel="0" collapsed="false">
      <c r="A126" s="23" t="s">
        <v>135</v>
      </c>
      <c r="B126" s="13" t="s">
        <v>57</v>
      </c>
      <c r="C126" s="13" t="s">
        <v>71</v>
      </c>
      <c r="D126" s="13" t="s">
        <v>62</v>
      </c>
      <c r="E126" s="13" t="s">
        <v>67</v>
      </c>
      <c r="F126" s="24" t="n">
        <v>2</v>
      </c>
      <c r="G126" s="24" t="n">
        <v>4</v>
      </c>
      <c r="H126" s="24" t="n">
        <v>5</v>
      </c>
      <c r="I126" s="24" t="n">
        <v>4</v>
      </c>
      <c r="J126" s="24" t="n">
        <v>4</v>
      </c>
      <c r="K126" s="24" t="n">
        <v>2</v>
      </c>
      <c r="L126" s="24" t="n">
        <v>3</v>
      </c>
      <c r="M126" s="24" t="n">
        <v>4</v>
      </c>
      <c r="N126" s="12" t="n">
        <f aca="false">ROUND(AVERAGE(F126:L126),2)</f>
        <v>3.43</v>
      </c>
      <c r="O126" s="13" t="str">
        <f aca="false">IF(M126&gt;=4,"Satisfied",IF(M126=3,"Neutral","Dissatisfied"))</f>
        <v>Satisfied</v>
      </c>
      <c r="P126" s="24" t="s">
        <v>38</v>
      </c>
      <c r="Q126" s="24" t="s">
        <v>40</v>
      </c>
      <c r="R126" s="24" t="s">
        <v>38</v>
      </c>
      <c r="S126" s="24" t="s">
        <v>40</v>
      </c>
      <c r="T126" s="24" t="s">
        <v>40</v>
      </c>
      <c r="U126" s="24" t="s">
        <v>40</v>
      </c>
      <c r="V126" s="24" t="s">
        <v>38</v>
      </c>
    </row>
    <row r="127" customFormat="false" ht="15" hidden="false" customHeight="false" outlineLevel="0" collapsed="false">
      <c r="A127" s="23" t="s">
        <v>136</v>
      </c>
      <c r="B127" s="13" t="s">
        <v>56</v>
      </c>
      <c r="C127" s="13" t="s">
        <v>70</v>
      </c>
      <c r="D127" s="13" t="s">
        <v>61</v>
      </c>
      <c r="E127" s="13" t="s">
        <v>65</v>
      </c>
      <c r="F127" s="24" t="n">
        <v>1</v>
      </c>
      <c r="G127" s="24" t="n">
        <v>1</v>
      </c>
      <c r="H127" s="24" t="n">
        <v>4</v>
      </c>
      <c r="I127" s="24" t="n">
        <v>4</v>
      </c>
      <c r="J127" s="24" t="n">
        <v>4</v>
      </c>
      <c r="K127" s="24" t="n">
        <v>3</v>
      </c>
      <c r="L127" s="24" t="n">
        <v>3</v>
      </c>
      <c r="M127" s="24" t="n">
        <v>2</v>
      </c>
      <c r="N127" s="12" t="n">
        <f aca="false">ROUND(AVERAGE(F127:L127),2)</f>
        <v>2.86</v>
      </c>
      <c r="O127" s="13" t="str">
        <f aca="false">IF(M127&gt;=4,"Satisfied",IF(M127=3,"Neutral","Dissatisfied"))</f>
        <v>Dissatisfied</v>
      </c>
      <c r="P127" s="24" t="s">
        <v>40</v>
      </c>
      <c r="Q127" s="24" t="s">
        <v>40</v>
      </c>
      <c r="R127" s="24" t="s">
        <v>38</v>
      </c>
      <c r="S127" s="24" t="s">
        <v>38</v>
      </c>
      <c r="T127" s="24" t="s">
        <v>40</v>
      </c>
      <c r="U127" s="24" t="s">
        <v>40</v>
      </c>
      <c r="V127" s="24" t="s">
        <v>38</v>
      </c>
    </row>
    <row r="128" customFormat="false" ht="15" hidden="false" customHeight="false" outlineLevel="0" collapsed="false">
      <c r="A128" s="23" t="s">
        <v>137</v>
      </c>
      <c r="B128" s="13" t="s">
        <v>57</v>
      </c>
      <c r="C128" s="13" t="s">
        <v>70</v>
      </c>
      <c r="D128" s="13" t="s">
        <v>61</v>
      </c>
      <c r="E128" s="13" t="s">
        <v>66</v>
      </c>
      <c r="F128" s="24" t="n">
        <v>4</v>
      </c>
      <c r="G128" s="24" t="n">
        <v>5</v>
      </c>
      <c r="H128" s="24" t="n">
        <v>4</v>
      </c>
      <c r="I128" s="24" t="n">
        <v>3</v>
      </c>
      <c r="J128" s="24" t="n">
        <v>3</v>
      </c>
      <c r="K128" s="24" t="n">
        <v>2</v>
      </c>
      <c r="L128" s="24" t="n">
        <v>3</v>
      </c>
      <c r="M128" s="24" t="n">
        <v>4</v>
      </c>
      <c r="N128" s="12" t="n">
        <f aca="false">ROUND(AVERAGE(F128:L128),2)</f>
        <v>3.43</v>
      </c>
      <c r="O128" s="13" t="str">
        <f aca="false">IF(M128&gt;=4,"Satisfied",IF(M128=3,"Neutral","Dissatisfied"))</f>
        <v>Satisfied</v>
      </c>
      <c r="P128" s="24" t="s">
        <v>39</v>
      </c>
      <c r="Q128" s="24" t="s">
        <v>38</v>
      </c>
      <c r="R128" s="24" t="s">
        <v>38</v>
      </c>
      <c r="S128" s="24" t="s">
        <v>38</v>
      </c>
      <c r="T128" s="24" t="s">
        <v>40</v>
      </c>
      <c r="U128" s="24" t="s">
        <v>40</v>
      </c>
      <c r="V128" s="24" t="s">
        <v>40</v>
      </c>
    </row>
    <row r="129" customFormat="false" ht="15" hidden="false" customHeight="false" outlineLevel="0" collapsed="false">
      <c r="A129" s="23" t="s">
        <v>138</v>
      </c>
      <c r="B129" s="13" t="s">
        <v>56</v>
      </c>
      <c r="C129" s="13" t="s">
        <v>71</v>
      </c>
      <c r="D129" s="13" t="s">
        <v>60</v>
      </c>
      <c r="E129" s="13" t="s">
        <v>66</v>
      </c>
      <c r="F129" s="24" t="n">
        <v>5</v>
      </c>
      <c r="G129" s="24" t="n">
        <v>4</v>
      </c>
      <c r="H129" s="24" t="n">
        <v>5</v>
      </c>
      <c r="I129" s="24" t="n">
        <v>3</v>
      </c>
      <c r="J129" s="24" t="n">
        <v>4</v>
      </c>
      <c r="K129" s="24" t="n">
        <v>3</v>
      </c>
      <c r="L129" s="24" t="n">
        <v>2</v>
      </c>
      <c r="M129" s="24" t="n">
        <v>5</v>
      </c>
      <c r="N129" s="12" t="n">
        <f aca="false">ROUND(AVERAGE(F129:L129),2)</f>
        <v>3.71</v>
      </c>
      <c r="O129" s="13" t="str">
        <f aca="false">IF(M129&gt;=4,"Satisfied",IF(M129=3,"Neutral","Dissatisfied"))</f>
        <v>Satisfied</v>
      </c>
      <c r="P129" s="24" t="s">
        <v>38</v>
      </c>
      <c r="Q129" s="24" t="s">
        <v>38</v>
      </c>
      <c r="R129" s="24" t="s">
        <v>38</v>
      </c>
      <c r="S129" s="24" t="s">
        <v>40</v>
      </c>
      <c r="T129" s="24" t="s">
        <v>38</v>
      </c>
      <c r="U129" s="24" t="s">
        <v>40</v>
      </c>
      <c r="V129" s="24" t="s">
        <v>40</v>
      </c>
    </row>
    <row r="130" customFormat="false" ht="15" hidden="false" customHeight="false" outlineLevel="0" collapsed="false">
      <c r="A130" s="23" t="s">
        <v>139</v>
      </c>
      <c r="B130" s="13" t="s">
        <v>58</v>
      </c>
      <c r="C130" s="13" t="s">
        <v>70</v>
      </c>
      <c r="D130" s="13" t="s">
        <v>62</v>
      </c>
      <c r="E130" s="13" t="s">
        <v>66</v>
      </c>
      <c r="F130" s="24" t="n">
        <v>5</v>
      </c>
      <c r="G130" s="24" t="n">
        <v>5</v>
      </c>
      <c r="H130" s="24" t="n">
        <v>3</v>
      </c>
      <c r="I130" s="24" t="n">
        <v>3</v>
      </c>
      <c r="J130" s="24" t="n">
        <v>3</v>
      </c>
      <c r="K130" s="24" t="n">
        <v>4</v>
      </c>
      <c r="L130" s="24" t="n">
        <v>3</v>
      </c>
      <c r="M130" s="24" t="n">
        <v>5</v>
      </c>
      <c r="N130" s="12" t="n">
        <f aca="false">ROUND(AVERAGE(F130:L130),2)</f>
        <v>3.71</v>
      </c>
      <c r="O130" s="13" t="str">
        <f aca="false">IF(M130&gt;=4,"Satisfied",IF(M130=3,"Neutral","Dissatisfied"))</f>
        <v>Satisfied</v>
      </c>
      <c r="P130" s="24" t="s">
        <v>38</v>
      </c>
      <c r="Q130" s="24" t="s">
        <v>38</v>
      </c>
      <c r="R130" s="24" t="s">
        <v>40</v>
      </c>
      <c r="S130" s="24" t="s">
        <v>38</v>
      </c>
      <c r="T130" s="24" t="s">
        <v>40</v>
      </c>
      <c r="U130" s="24" t="s">
        <v>40</v>
      </c>
      <c r="V130" s="24" t="s">
        <v>40</v>
      </c>
    </row>
    <row r="131" customFormat="false" ht="15" hidden="false" customHeight="false" outlineLevel="0" collapsed="false">
      <c r="A131" s="23" t="s">
        <v>140</v>
      </c>
      <c r="B131" s="13" t="s">
        <v>56</v>
      </c>
      <c r="C131" s="13" t="s">
        <v>71</v>
      </c>
      <c r="D131" s="13" t="s">
        <v>61</v>
      </c>
      <c r="E131" s="13" t="s">
        <v>66</v>
      </c>
      <c r="F131" s="24" t="n">
        <v>5</v>
      </c>
      <c r="G131" s="24" t="n">
        <v>4</v>
      </c>
      <c r="H131" s="24" t="n">
        <v>4</v>
      </c>
      <c r="I131" s="24" t="n">
        <v>4</v>
      </c>
      <c r="J131" s="24" t="n">
        <v>3</v>
      </c>
      <c r="K131" s="24" t="n">
        <v>4</v>
      </c>
      <c r="L131" s="24" t="n">
        <v>3</v>
      </c>
      <c r="M131" s="24" t="n">
        <v>5</v>
      </c>
      <c r="N131" s="12" t="n">
        <f aca="false">ROUND(AVERAGE(F131:L131),2)</f>
        <v>3.86</v>
      </c>
      <c r="O131" s="13" t="str">
        <f aca="false">IF(M131&gt;=4,"Satisfied",IF(M131=3,"Neutral","Dissatisfied"))</f>
        <v>Satisfied</v>
      </c>
      <c r="P131" s="24" t="s">
        <v>38</v>
      </c>
      <c r="Q131" s="24" t="s">
        <v>38</v>
      </c>
      <c r="R131" s="24" t="s">
        <v>40</v>
      </c>
      <c r="S131" s="24" t="s">
        <v>40</v>
      </c>
      <c r="T131" s="24" t="s">
        <v>40</v>
      </c>
      <c r="U131" s="24" t="s">
        <v>40</v>
      </c>
      <c r="V131" s="24" t="s">
        <v>40</v>
      </c>
    </row>
    <row r="132" customFormat="false" ht="15" hidden="false" customHeight="false" outlineLevel="0" collapsed="false">
      <c r="A132" s="23" t="s">
        <v>141</v>
      </c>
      <c r="B132" s="13" t="s">
        <v>57</v>
      </c>
      <c r="C132" s="13" t="s">
        <v>70</v>
      </c>
      <c r="D132" s="13" t="s">
        <v>61</v>
      </c>
      <c r="E132" s="13" t="s">
        <v>68</v>
      </c>
      <c r="F132" s="24" t="n">
        <v>5</v>
      </c>
      <c r="G132" s="24" t="n">
        <v>4</v>
      </c>
      <c r="H132" s="24" t="n">
        <v>4</v>
      </c>
      <c r="I132" s="24" t="n">
        <v>3</v>
      </c>
      <c r="J132" s="24" t="n">
        <v>5</v>
      </c>
      <c r="K132" s="24" t="n">
        <v>3</v>
      </c>
      <c r="L132" s="24" t="n">
        <v>2</v>
      </c>
      <c r="M132" s="24" t="n">
        <v>5</v>
      </c>
      <c r="N132" s="12" t="n">
        <f aca="false">ROUND(AVERAGE(F132:L132),2)</f>
        <v>3.71</v>
      </c>
      <c r="O132" s="13" t="str">
        <f aca="false">IF(M132&gt;=4,"Satisfied",IF(M132=3,"Neutral","Dissatisfied"))</f>
        <v>Satisfied</v>
      </c>
      <c r="P132" s="24" t="s">
        <v>38</v>
      </c>
      <c r="Q132" s="24" t="s">
        <v>40</v>
      </c>
      <c r="R132" s="24" t="s">
        <v>38</v>
      </c>
      <c r="S132" s="24" t="s">
        <v>38</v>
      </c>
      <c r="T132" s="24" t="s">
        <v>38</v>
      </c>
      <c r="U132" s="24" t="s">
        <v>40</v>
      </c>
      <c r="V132" s="24" t="s">
        <v>40</v>
      </c>
    </row>
    <row r="133" customFormat="false" ht="15" hidden="false" customHeight="false" outlineLevel="0" collapsed="false">
      <c r="A133" s="23" t="s">
        <v>142</v>
      </c>
      <c r="B133" s="13" t="s">
        <v>56</v>
      </c>
      <c r="C133" s="13" t="s">
        <v>70</v>
      </c>
      <c r="D133" s="13" t="s">
        <v>61</v>
      </c>
      <c r="E133" s="13" t="s">
        <v>66</v>
      </c>
      <c r="F133" s="24" t="n">
        <v>5</v>
      </c>
      <c r="G133" s="24" t="n">
        <v>4</v>
      </c>
      <c r="H133" s="24" t="n">
        <v>4</v>
      </c>
      <c r="I133" s="24" t="n">
        <v>3</v>
      </c>
      <c r="J133" s="24" t="n">
        <v>4</v>
      </c>
      <c r="K133" s="24" t="n">
        <v>3</v>
      </c>
      <c r="L133" s="24" t="n">
        <v>2</v>
      </c>
      <c r="M133" s="24" t="n">
        <v>4</v>
      </c>
      <c r="N133" s="12" t="n">
        <f aca="false">ROUND(AVERAGE(F133:L133),2)</f>
        <v>3.57</v>
      </c>
      <c r="O133" s="13" t="str">
        <f aca="false">IF(M133&gt;=4,"Satisfied",IF(M133=3,"Neutral","Dissatisfied"))</f>
        <v>Satisfied</v>
      </c>
      <c r="P133" s="24" t="s">
        <v>38</v>
      </c>
      <c r="Q133" s="24" t="s">
        <v>38</v>
      </c>
      <c r="R133" s="24" t="s">
        <v>38</v>
      </c>
      <c r="S133" s="24" t="s">
        <v>38</v>
      </c>
      <c r="T133" s="24" t="s">
        <v>38</v>
      </c>
      <c r="U133" s="24" t="s">
        <v>40</v>
      </c>
      <c r="V133" s="24" t="s">
        <v>40</v>
      </c>
    </row>
    <row r="134" customFormat="false" ht="15" hidden="false" customHeight="false" outlineLevel="0" collapsed="false">
      <c r="A134" s="23" t="s">
        <v>143</v>
      </c>
      <c r="B134" s="13" t="s">
        <v>56</v>
      </c>
      <c r="C134" s="13" t="s">
        <v>71</v>
      </c>
      <c r="D134" s="13" t="s">
        <v>63</v>
      </c>
      <c r="E134" s="13" t="s">
        <v>67</v>
      </c>
      <c r="F134" s="24" t="n">
        <v>3</v>
      </c>
      <c r="G134" s="24" t="n">
        <v>3</v>
      </c>
      <c r="H134" s="24" t="n">
        <v>4</v>
      </c>
      <c r="I134" s="24" t="n">
        <v>5</v>
      </c>
      <c r="J134" s="24" t="n">
        <v>3</v>
      </c>
      <c r="K134" s="24" t="n">
        <v>2</v>
      </c>
      <c r="L134" s="24" t="n">
        <v>3</v>
      </c>
      <c r="M134" s="24" t="n">
        <v>4</v>
      </c>
      <c r="N134" s="12" t="n">
        <f aca="false">ROUND(AVERAGE(F134:L134),2)</f>
        <v>3.29</v>
      </c>
      <c r="O134" s="13" t="str">
        <f aca="false">IF(M134&gt;=4,"Satisfied",IF(M134=3,"Neutral","Dissatisfied"))</f>
        <v>Satisfied</v>
      </c>
      <c r="P134" s="24" t="s">
        <v>39</v>
      </c>
      <c r="Q134" s="24" t="s">
        <v>38</v>
      </c>
      <c r="R134" s="24" t="s">
        <v>38</v>
      </c>
      <c r="S134" s="24" t="s">
        <v>40</v>
      </c>
      <c r="T134" s="24" t="s">
        <v>38</v>
      </c>
      <c r="U134" s="24" t="s">
        <v>40</v>
      </c>
      <c r="V134" s="24" t="s">
        <v>38</v>
      </c>
    </row>
    <row r="135" customFormat="false" ht="15" hidden="false" customHeight="false" outlineLevel="0" collapsed="false">
      <c r="A135" s="23" t="s">
        <v>144</v>
      </c>
      <c r="B135" s="13" t="s">
        <v>56</v>
      </c>
      <c r="C135" s="13" t="s">
        <v>70</v>
      </c>
      <c r="D135" s="13" t="s">
        <v>60</v>
      </c>
      <c r="E135" s="13" t="s">
        <v>67</v>
      </c>
      <c r="F135" s="24" t="n">
        <v>5</v>
      </c>
      <c r="G135" s="24" t="n">
        <v>5</v>
      </c>
      <c r="H135" s="24" t="n">
        <v>3</v>
      </c>
      <c r="I135" s="24" t="n">
        <v>4</v>
      </c>
      <c r="J135" s="24" t="n">
        <v>1</v>
      </c>
      <c r="K135" s="24" t="n">
        <v>3</v>
      </c>
      <c r="L135" s="24" t="n">
        <v>4</v>
      </c>
      <c r="M135" s="24" t="n">
        <v>4</v>
      </c>
      <c r="N135" s="12" t="n">
        <f aca="false">ROUND(AVERAGE(F135:L135),2)</f>
        <v>3.57</v>
      </c>
      <c r="O135" s="13" t="str">
        <f aca="false">IF(M135&gt;=4,"Satisfied",IF(M135=3,"Neutral","Dissatisfied"))</f>
        <v>Satisfied</v>
      </c>
      <c r="P135" s="24" t="s">
        <v>38</v>
      </c>
      <c r="Q135" s="24" t="s">
        <v>38</v>
      </c>
      <c r="R135" s="24" t="s">
        <v>40</v>
      </c>
      <c r="S135" s="24" t="s">
        <v>40</v>
      </c>
      <c r="T135" s="24" t="s">
        <v>40</v>
      </c>
      <c r="U135" s="24" t="s">
        <v>38</v>
      </c>
      <c r="V135" s="24" t="s">
        <v>40</v>
      </c>
    </row>
    <row r="136" customFormat="false" ht="15" hidden="false" customHeight="false" outlineLevel="0" collapsed="false">
      <c r="A136" s="23" t="s">
        <v>145</v>
      </c>
      <c r="B136" s="13" t="s">
        <v>56</v>
      </c>
      <c r="C136" s="13" t="s">
        <v>71</v>
      </c>
      <c r="D136" s="13" t="s">
        <v>61</v>
      </c>
      <c r="E136" s="13" t="s">
        <v>67</v>
      </c>
      <c r="F136" s="24" t="n">
        <v>3</v>
      </c>
      <c r="G136" s="24" t="n">
        <v>5</v>
      </c>
      <c r="H136" s="24" t="n">
        <v>5</v>
      </c>
      <c r="I136" s="24" t="n">
        <v>3</v>
      </c>
      <c r="J136" s="24" t="n">
        <v>3</v>
      </c>
      <c r="K136" s="24" t="n">
        <v>3</v>
      </c>
      <c r="L136" s="24" t="n">
        <v>3</v>
      </c>
      <c r="M136" s="24" t="n">
        <v>5</v>
      </c>
      <c r="N136" s="12" t="n">
        <f aca="false">ROUND(AVERAGE(F136:L136),2)</f>
        <v>3.57</v>
      </c>
      <c r="O136" s="13" t="str">
        <f aca="false">IF(M136&gt;=4,"Satisfied",IF(M136=3,"Neutral","Dissatisfied"))</f>
        <v>Satisfied</v>
      </c>
      <c r="P136" s="24" t="s">
        <v>38</v>
      </c>
      <c r="Q136" s="24" t="s">
        <v>38</v>
      </c>
      <c r="R136" s="24" t="s">
        <v>40</v>
      </c>
      <c r="S136" s="24" t="s">
        <v>40</v>
      </c>
      <c r="T136" s="24" t="s">
        <v>40</v>
      </c>
      <c r="U136" s="24" t="s">
        <v>40</v>
      </c>
      <c r="V136" s="24" t="s">
        <v>40</v>
      </c>
    </row>
    <row r="137" customFormat="false" ht="15" hidden="false" customHeight="false" outlineLevel="0" collapsed="false">
      <c r="A137" s="23" t="s">
        <v>146</v>
      </c>
      <c r="B137" s="13" t="s">
        <v>56</v>
      </c>
      <c r="C137" s="13" t="s">
        <v>70</v>
      </c>
      <c r="D137" s="13" t="s">
        <v>62</v>
      </c>
      <c r="E137" s="13" t="s">
        <v>67</v>
      </c>
      <c r="F137" s="24" t="n">
        <v>5</v>
      </c>
      <c r="G137" s="24" t="n">
        <v>4</v>
      </c>
      <c r="H137" s="24" t="n">
        <v>4</v>
      </c>
      <c r="I137" s="24" t="n">
        <v>2</v>
      </c>
      <c r="J137" s="24" t="n">
        <v>4</v>
      </c>
      <c r="K137" s="24" t="n">
        <v>4</v>
      </c>
      <c r="L137" s="24" t="n">
        <v>2</v>
      </c>
      <c r="M137" s="24" t="n">
        <v>4</v>
      </c>
      <c r="N137" s="12" t="n">
        <f aca="false">ROUND(AVERAGE(F137:L137),2)</f>
        <v>3.57</v>
      </c>
      <c r="O137" s="13" t="str">
        <f aca="false">IF(M137&gt;=4,"Satisfied",IF(M137=3,"Neutral","Dissatisfied"))</f>
        <v>Satisfied</v>
      </c>
      <c r="P137" s="24" t="s">
        <v>38</v>
      </c>
      <c r="Q137" s="24" t="s">
        <v>40</v>
      </c>
      <c r="R137" s="24" t="s">
        <v>40</v>
      </c>
      <c r="S137" s="24" t="s">
        <v>38</v>
      </c>
      <c r="T137" s="24" t="s">
        <v>40</v>
      </c>
      <c r="U137" s="24" t="s">
        <v>40</v>
      </c>
      <c r="V137" s="24" t="s">
        <v>40</v>
      </c>
    </row>
    <row r="138" customFormat="false" ht="15" hidden="false" customHeight="false" outlineLevel="0" collapsed="false">
      <c r="A138" s="23" t="s">
        <v>147</v>
      </c>
      <c r="B138" s="13" t="s">
        <v>55</v>
      </c>
      <c r="C138" s="13" t="s">
        <v>71</v>
      </c>
      <c r="D138" s="13" t="s">
        <v>61</v>
      </c>
      <c r="E138" s="13" t="s">
        <v>66</v>
      </c>
      <c r="F138" s="24" t="n">
        <v>5</v>
      </c>
      <c r="G138" s="24" t="n">
        <v>3</v>
      </c>
      <c r="H138" s="24" t="n">
        <v>5</v>
      </c>
      <c r="I138" s="24" t="n">
        <v>3</v>
      </c>
      <c r="J138" s="24" t="n">
        <v>3</v>
      </c>
      <c r="K138" s="24" t="n">
        <v>3</v>
      </c>
      <c r="L138" s="24" t="n">
        <v>3</v>
      </c>
      <c r="M138" s="24" t="n">
        <v>5</v>
      </c>
      <c r="N138" s="12" t="n">
        <f aca="false">ROUND(AVERAGE(F138:L138),2)</f>
        <v>3.57</v>
      </c>
      <c r="O138" s="13" t="str">
        <f aca="false">IF(M138&gt;=4,"Satisfied",IF(M138=3,"Neutral","Dissatisfied"))</f>
        <v>Satisfied</v>
      </c>
      <c r="P138" s="24" t="s">
        <v>38</v>
      </c>
      <c r="Q138" s="24" t="s">
        <v>38</v>
      </c>
      <c r="R138" s="24" t="s">
        <v>38</v>
      </c>
      <c r="S138" s="24" t="s">
        <v>40</v>
      </c>
      <c r="T138" s="24" t="s">
        <v>40</v>
      </c>
      <c r="U138" s="24" t="s">
        <v>40</v>
      </c>
      <c r="V138" s="24" t="s">
        <v>40</v>
      </c>
    </row>
    <row r="139" customFormat="false" ht="15" hidden="false" customHeight="false" outlineLevel="0" collapsed="false">
      <c r="A139" s="23" t="s">
        <v>148</v>
      </c>
      <c r="B139" s="13" t="s">
        <v>57</v>
      </c>
      <c r="C139" s="13" t="s">
        <v>71</v>
      </c>
      <c r="D139" s="13" t="s">
        <v>61</v>
      </c>
      <c r="E139" s="13" t="s">
        <v>65</v>
      </c>
      <c r="F139" s="24" t="n">
        <v>4</v>
      </c>
      <c r="G139" s="24" t="n">
        <v>5</v>
      </c>
      <c r="H139" s="24" t="n">
        <v>4</v>
      </c>
      <c r="I139" s="24" t="n">
        <v>2</v>
      </c>
      <c r="J139" s="24" t="n">
        <v>1</v>
      </c>
      <c r="K139" s="24" t="n">
        <v>2</v>
      </c>
      <c r="L139" s="24" t="n">
        <v>2</v>
      </c>
      <c r="M139" s="24" t="n">
        <v>2</v>
      </c>
      <c r="N139" s="12" t="n">
        <f aca="false">ROUND(AVERAGE(F139:L139),2)</f>
        <v>2.86</v>
      </c>
      <c r="O139" s="13" t="str">
        <f aca="false">IF(M139&gt;=4,"Satisfied",IF(M139=3,"Neutral","Dissatisfied"))</f>
        <v>Dissatisfied</v>
      </c>
      <c r="P139" s="24" t="s">
        <v>39</v>
      </c>
      <c r="Q139" s="24" t="s">
        <v>38</v>
      </c>
      <c r="R139" s="24" t="s">
        <v>38</v>
      </c>
      <c r="S139" s="24" t="s">
        <v>38</v>
      </c>
      <c r="T139" s="24" t="s">
        <v>40</v>
      </c>
      <c r="U139" s="24" t="s">
        <v>40</v>
      </c>
      <c r="V139" s="24" t="s">
        <v>40</v>
      </c>
    </row>
    <row r="140" customFormat="false" ht="15" hidden="false" customHeight="false" outlineLevel="0" collapsed="false">
      <c r="A140" s="23" t="s">
        <v>149</v>
      </c>
      <c r="B140" s="13" t="s">
        <v>56</v>
      </c>
      <c r="C140" s="13" t="s">
        <v>71</v>
      </c>
      <c r="D140" s="13" t="s">
        <v>61</v>
      </c>
      <c r="E140" s="13" t="s">
        <v>68</v>
      </c>
      <c r="F140" s="24" t="n">
        <v>5</v>
      </c>
      <c r="G140" s="24" t="n">
        <v>5</v>
      </c>
      <c r="H140" s="24" t="n">
        <v>3</v>
      </c>
      <c r="I140" s="24" t="n">
        <v>4</v>
      </c>
      <c r="J140" s="24" t="n">
        <v>4</v>
      </c>
      <c r="K140" s="24" t="n">
        <v>4</v>
      </c>
      <c r="L140" s="24" t="n">
        <v>3</v>
      </c>
      <c r="M140" s="24" t="n">
        <v>5</v>
      </c>
      <c r="N140" s="12" t="n">
        <f aca="false">ROUND(AVERAGE(F140:L140),2)</f>
        <v>4</v>
      </c>
      <c r="O140" s="13" t="str">
        <f aca="false">IF(M140&gt;=4,"Satisfied",IF(M140=3,"Neutral","Dissatisfied"))</f>
        <v>Satisfied</v>
      </c>
      <c r="P140" s="24" t="s">
        <v>38</v>
      </c>
      <c r="Q140" s="24" t="s">
        <v>38</v>
      </c>
      <c r="R140" s="24" t="s">
        <v>40</v>
      </c>
      <c r="S140" s="24" t="s">
        <v>40</v>
      </c>
      <c r="T140" s="24" t="s">
        <v>40</v>
      </c>
      <c r="U140" s="24" t="s">
        <v>40</v>
      </c>
      <c r="V140" s="24" t="s">
        <v>40</v>
      </c>
    </row>
    <row r="141" customFormat="false" ht="15" hidden="false" customHeight="false" outlineLevel="0" collapsed="false">
      <c r="A141" s="23" t="s">
        <v>150</v>
      </c>
      <c r="B141" s="13" t="s">
        <v>58</v>
      </c>
      <c r="C141" s="13" t="s">
        <v>70</v>
      </c>
      <c r="D141" s="13" t="s">
        <v>62</v>
      </c>
      <c r="E141" s="13" t="s">
        <v>67</v>
      </c>
      <c r="F141" s="24" t="n">
        <v>2</v>
      </c>
      <c r="G141" s="24" t="n">
        <v>5</v>
      </c>
      <c r="H141" s="24" t="n">
        <v>3</v>
      </c>
      <c r="I141" s="24" t="n">
        <v>3</v>
      </c>
      <c r="J141" s="24" t="n">
        <v>3</v>
      </c>
      <c r="K141" s="24" t="n">
        <v>3</v>
      </c>
      <c r="L141" s="24" t="n">
        <v>2</v>
      </c>
      <c r="M141" s="24" t="n">
        <v>2</v>
      </c>
      <c r="N141" s="12" t="n">
        <f aca="false">ROUND(AVERAGE(F141:L141),2)</f>
        <v>3</v>
      </c>
      <c r="O141" s="13" t="str">
        <f aca="false">IF(M141&gt;=4,"Satisfied",IF(M141=3,"Neutral","Dissatisfied"))</f>
        <v>Dissatisfied</v>
      </c>
      <c r="P141" s="24" t="s">
        <v>39</v>
      </c>
      <c r="Q141" s="24" t="s">
        <v>38</v>
      </c>
      <c r="R141" s="24" t="s">
        <v>38</v>
      </c>
      <c r="S141" s="24" t="s">
        <v>40</v>
      </c>
      <c r="T141" s="24" t="s">
        <v>38</v>
      </c>
      <c r="U141" s="24" t="s">
        <v>40</v>
      </c>
      <c r="V141" s="24" t="s">
        <v>38</v>
      </c>
    </row>
    <row r="142" customFormat="false" ht="15" hidden="false" customHeight="false" outlineLevel="0" collapsed="false">
      <c r="A142" s="23" t="s">
        <v>151</v>
      </c>
      <c r="B142" s="13" t="s">
        <v>57</v>
      </c>
      <c r="C142" s="13" t="s">
        <v>71</v>
      </c>
      <c r="D142" s="13" t="s">
        <v>60</v>
      </c>
      <c r="E142" s="13" t="s">
        <v>68</v>
      </c>
      <c r="F142" s="24" t="n">
        <v>3</v>
      </c>
      <c r="G142" s="24" t="n">
        <v>5</v>
      </c>
      <c r="H142" s="24" t="n">
        <v>5</v>
      </c>
      <c r="I142" s="24" t="n">
        <v>4</v>
      </c>
      <c r="J142" s="24" t="n">
        <v>4</v>
      </c>
      <c r="K142" s="24" t="n">
        <v>2</v>
      </c>
      <c r="L142" s="24" t="n">
        <v>2</v>
      </c>
      <c r="M142" s="24" t="n">
        <v>4</v>
      </c>
      <c r="N142" s="12" t="n">
        <f aca="false">ROUND(AVERAGE(F142:L142),2)</f>
        <v>3.57</v>
      </c>
      <c r="O142" s="13" t="str">
        <f aca="false">IF(M142&gt;=4,"Satisfied",IF(M142=3,"Neutral","Dissatisfied"))</f>
        <v>Satisfied</v>
      </c>
      <c r="P142" s="24" t="s">
        <v>38</v>
      </c>
      <c r="Q142" s="24" t="s">
        <v>40</v>
      </c>
      <c r="R142" s="24" t="s">
        <v>38</v>
      </c>
      <c r="S142" s="24" t="s">
        <v>40</v>
      </c>
      <c r="T142" s="24" t="s">
        <v>38</v>
      </c>
      <c r="U142" s="24" t="s">
        <v>40</v>
      </c>
      <c r="V142" s="24" t="s">
        <v>40</v>
      </c>
    </row>
    <row r="143" customFormat="false" ht="15" hidden="false" customHeight="false" outlineLevel="0" collapsed="false">
      <c r="A143" s="23" t="s">
        <v>152</v>
      </c>
      <c r="B143" s="13" t="s">
        <v>57</v>
      </c>
      <c r="C143" s="13" t="s">
        <v>71</v>
      </c>
      <c r="D143" s="13" t="s">
        <v>60</v>
      </c>
      <c r="E143" s="13" t="s">
        <v>68</v>
      </c>
      <c r="F143" s="24" t="n">
        <v>4</v>
      </c>
      <c r="G143" s="24" t="n">
        <v>4</v>
      </c>
      <c r="H143" s="24" t="n">
        <v>4</v>
      </c>
      <c r="I143" s="24" t="n">
        <v>3</v>
      </c>
      <c r="J143" s="24" t="n">
        <v>3</v>
      </c>
      <c r="K143" s="24" t="n">
        <v>3</v>
      </c>
      <c r="L143" s="24" t="n">
        <v>4</v>
      </c>
      <c r="M143" s="24" t="n">
        <v>4</v>
      </c>
      <c r="N143" s="12" t="n">
        <f aca="false">ROUND(AVERAGE(F143:L143),2)</f>
        <v>3.57</v>
      </c>
      <c r="O143" s="13" t="str">
        <f aca="false">IF(M143&gt;=4,"Satisfied",IF(M143=3,"Neutral","Dissatisfied"))</f>
        <v>Satisfied</v>
      </c>
      <c r="P143" s="24" t="s">
        <v>38</v>
      </c>
      <c r="Q143" s="24" t="s">
        <v>38</v>
      </c>
      <c r="R143" s="24" t="s">
        <v>40</v>
      </c>
      <c r="S143" s="24" t="s">
        <v>40</v>
      </c>
      <c r="T143" s="24" t="s">
        <v>40</v>
      </c>
      <c r="U143" s="24" t="s">
        <v>40</v>
      </c>
      <c r="V143" s="24" t="s">
        <v>40</v>
      </c>
    </row>
    <row r="144" customFormat="false" ht="15" hidden="false" customHeight="false" outlineLevel="0" collapsed="false">
      <c r="A144" s="23" t="s">
        <v>153</v>
      </c>
      <c r="B144" s="13" t="s">
        <v>56</v>
      </c>
      <c r="C144" s="13" t="s">
        <v>71</v>
      </c>
      <c r="D144" s="13" t="s">
        <v>61</v>
      </c>
      <c r="E144" s="13" t="s">
        <v>67</v>
      </c>
      <c r="F144" s="24" t="n">
        <v>5</v>
      </c>
      <c r="G144" s="24" t="n">
        <v>4</v>
      </c>
      <c r="H144" s="24" t="n">
        <v>4</v>
      </c>
      <c r="I144" s="24" t="n">
        <v>4</v>
      </c>
      <c r="J144" s="24" t="n">
        <v>3</v>
      </c>
      <c r="K144" s="24" t="n">
        <v>4</v>
      </c>
      <c r="L144" s="24" t="n">
        <v>3</v>
      </c>
      <c r="M144" s="24" t="n">
        <v>5</v>
      </c>
      <c r="N144" s="12" t="n">
        <f aca="false">ROUND(AVERAGE(F144:L144),2)</f>
        <v>3.86</v>
      </c>
      <c r="O144" s="13" t="str">
        <f aca="false">IF(M144&gt;=4,"Satisfied",IF(M144=3,"Neutral","Dissatisfied"))</f>
        <v>Satisfied</v>
      </c>
      <c r="P144" s="24" t="s">
        <v>38</v>
      </c>
      <c r="Q144" s="24" t="s">
        <v>40</v>
      </c>
      <c r="R144" s="24" t="s">
        <v>40</v>
      </c>
      <c r="S144" s="24" t="s">
        <v>40</v>
      </c>
      <c r="T144" s="24" t="s">
        <v>40</v>
      </c>
      <c r="U144" s="24" t="s">
        <v>40</v>
      </c>
      <c r="V144" s="24" t="s">
        <v>40</v>
      </c>
    </row>
  </sheetData>
  <autoFilter ref="A94:V144"/>
  <mergeCells count="72">
    <mergeCell ref="A4:C4"/>
    <mergeCell ref="D4:F4"/>
    <mergeCell ref="G4:I4"/>
    <mergeCell ref="J4:L4"/>
    <mergeCell ref="M4:O4"/>
    <mergeCell ref="P4:R4"/>
    <mergeCell ref="A5:C5"/>
    <mergeCell ref="D5:F5"/>
    <mergeCell ref="G5:I5"/>
    <mergeCell ref="J5:L5"/>
    <mergeCell ref="M5:O5"/>
    <mergeCell ref="P5:R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20:C20"/>
    <mergeCell ref="A21:C21"/>
    <mergeCell ref="A22:C22"/>
    <mergeCell ref="A23:C23"/>
    <mergeCell ref="A24:C24"/>
    <mergeCell ref="A25:C25"/>
    <mergeCell ref="A26:C26"/>
    <mergeCell ref="A30:C30"/>
    <mergeCell ref="A31:C31"/>
    <mergeCell ref="A32:C32"/>
    <mergeCell ref="A33:C33"/>
    <mergeCell ref="A37:C37"/>
    <mergeCell ref="A38:C38"/>
    <mergeCell ref="A39:C39"/>
    <mergeCell ref="A40:C40"/>
    <mergeCell ref="A41:C41"/>
    <mergeCell ref="A42:C42"/>
    <mergeCell ref="A43:C43"/>
    <mergeCell ref="A47:C47"/>
    <mergeCell ref="A48:C48"/>
    <mergeCell ref="A49:C49"/>
    <mergeCell ref="A50:C50"/>
    <mergeCell ref="A51:C51"/>
    <mergeCell ref="A53:C53"/>
    <mergeCell ref="A54:C54"/>
    <mergeCell ref="A55:C55"/>
    <mergeCell ref="A56:C56"/>
    <mergeCell ref="A57:C57"/>
    <mergeCell ref="A59:C59"/>
    <mergeCell ref="A60:C60"/>
    <mergeCell ref="A61:C61"/>
    <mergeCell ref="A62:C62"/>
    <mergeCell ref="A63:C63"/>
    <mergeCell ref="A65:C65"/>
    <mergeCell ref="A66:C66"/>
    <mergeCell ref="A67:C67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3:C83"/>
    <mergeCell ref="A84:C84"/>
    <mergeCell ref="A85:C85"/>
    <mergeCell ref="A86:C86"/>
    <mergeCell ref="A87:C87"/>
    <mergeCell ref="A88:C88"/>
  </mergeCells>
  <conditionalFormatting sqref="D9:D15">
    <cfRule type="colorScale" priority="2">
      <colorScale>
        <cfvo type="num" val="2.5"/>
        <cfvo type="num" val="3.5"/>
        <cfvo type="num" val="4.5"/>
        <color rgb="FFF8696B"/>
        <color rgb="FFFFEB84"/>
        <color rgb="FF63BE7B"/>
      </colorScale>
    </cfRule>
  </conditionalFormatting>
  <conditionalFormatting sqref="F95:M144">
    <cfRule type="cellIs" priority="3" operator="lessThanOrEqual" aboveAverage="0" equalAverage="0" bottom="0" percent="0" rank="0" text="" dxfId="6">
      <formula>2</formula>
    </cfRule>
    <cfRule type="cellIs" priority="4" operator="equal" aboveAverage="0" equalAverage="0" bottom="0" percent="0" rank="0" text="" dxfId="7">
      <formula>5</formula>
    </cfRule>
  </conditionalFormatting>
  <conditionalFormatting sqref="Q95:V144">
    <cfRule type="cellIs" priority="5" operator="equal" aboveAverage="0" equalAverage="0" bottom="0" percent="0" rank="0" text="" dxfId="8">
      <formula>"Yes"</formula>
    </cfRule>
  </conditionalFormatting>
  <dataValidations count="3">
    <dataValidation allowBlank="false" error="Enter a rating from 1 to 5" errorStyle="stop" errorTitle="Invalid" operator="between" showDropDown="false" showErrorMessage="true" showInputMessage="false" sqref="F95:M144" type="whole">
      <formula1>1</formula1>
      <formula2>5</formula2>
    </dataValidation>
    <dataValidation allowBlank="false" errorStyle="stop" operator="between" showDropDown="false" showErrorMessage="false" showInputMessage="false" sqref="Q95:V144" type="list">
      <formula1>"Yes,No"</formula1>
      <formula2>0</formula2>
    </dataValidation>
    <dataValidation allowBlank="false" errorStyle="stop" operator="between" showDropDown="false" showErrorMessage="false" showInputMessage="false" sqref="P95:P144" type="list">
      <formula1>"Yes,Maybe,No"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2026-10-27T19:23:36Z</dcterms:created>
  <dc:creator>openpyxl</dc:creator>
  <dc:description/>
  <dc:language>en-US</dc:language>
  <cp:lastModifiedBy/>
  <dcterms:modified xsi:type="dcterms:W3CDTF">2026-10-27T19:23:39Z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